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 activeTab="2"/>
  </bookViews>
  <sheets>
    <sheet name="Допущения" sheetId="1" r:id="rId1"/>
    <sheet name="Инструменты" sheetId="2" r:id="rId2"/>
    <sheet name="Медиаплан на год" sheetId="3" r:id="rId3"/>
    <sheet name="Сводка по месяцам" sheetId="4" r:id="rId4"/>
    <sheet name="Сводка за год" sheetId="5" r:id="rId5"/>
  </sheets>
  <definedNames>
    <definedName name="_xlnm._FilterDatabase" localSheetId="0" hidden="1">Допущения!$A$4:$F$22</definedName>
    <definedName name="_xlnm._FilterDatabase" localSheetId="1" hidden="1">Инструменты!$A$4:$N$11</definedName>
    <definedName name="_xlnm._FilterDatabase" localSheetId="2" hidden="1">'Медиаплан на год'!$A$4:$N$77</definedName>
    <definedName name="_xlnm._FilterDatabase" localSheetId="3" hidden="1">'Сводка по месяцам'!$A$4:$H$17</definedName>
    <definedName name="_xlnm._FilterDatabase" localSheetId="4" hidden="1">'Сводка за год'!$A$4:$K$11</definedName>
    <definedName name="_xlnm.Print_Titles" localSheetId="0">Допущения!$1:$4</definedName>
    <definedName name="_xlnm.Print_Titles" localSheetId="1">Инструменты!$1:$4</definedName>
    <definedName name="_xlnm.Print_Titles" localSheetId="2">'Медиаплан на год'!$1:$4,'Медиаплан на год'!$A:$C</definedName>
    <definedName name="_xlnm.Print_Titles" localSheetId="3">'Сводка по месяцам'!$1:$4</definedName>
    <definedName name="_xlnm.Print_Titles" localSheetId="4">'Сводка за год'!$1:$4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model</author>
  </authors>
  <commentList>
    <comment ref="C7" authorId="0">
      <text>
        <r>
          <rPr>
            <sz val="10"/>
            <rFont val="SimSun"/>
            <charset val="134"/>
          </rPr>
          <t>Вход модели. Лист «Инструменты» берёт бюджет как Допущения!C7 × доля.</t>
        </r>
      </text>
    </comment>
    <comment ref="C13" authorId="0">
      <text>
        <r>
          <rPr>
            <sz val="10"/>
            <rFont val="SimSun"/>
            <charset val="134"/>
          </rPr>
          <t>Вход модели. Выручка = покупки × этот AOV.</t>
        </r>
      </text>
    </comment>
  </commentList>
</comments>
</file>

<file path=xl/comments2.xml><?xml version="1.0" encoding="utf-8"?>
<comments xmlns="http://schemas.openxmlformats.org/spreadsheetml/2006/main">
  <authors>
    <author>bench</author>
  </authors>
  <commentList>
    <comment ref="B5" authorId="0">
      <text>
        <r>
          <rPr>
            <sz val="10"/>
            <rFont val="SimSun"/>
            <charset val="134"/>
          </rPr>
          <t>Бренд дешевле клика — задача забрать свой трафик, не растить охват.</t>
        </r>
      </text>
    </comment>
    <comment ref="B6" authorId="0">
      <text>
        <r>
          <rPr>
            <sz val="10"/>
            <rFont val="SimSun"/>
            <charset val="134"/>
          </rPr>
          <t>32% бюджета — основной спрос родителей по категории.</t>
        </r>
      </text>
    </comment>
    <comment ref="B7" authorId="0">
      <text>
        <r>
          <rPr>
            <sz val="10"/>
            <rFont val="SimSun"/>
            <charset val="134"/>
          </rPr>
          <t>Товарная галерея: CTR выше текста, CPC между брендом и категорией.</t>
        </r>
      </text>
    </comment>
    <comment ref="B8" authorId="0">
      <text>
        <r>
          <rPr>
            <sz val="10"/>
            <rFont val="SimSun"/>
            <charset val="134"/>
          </rPr>
          <t>РСЯ с ручным таргетингом: CR выше автотаргета, ДРР контролируем.</t>
        </r>
      </text>
    </comment>
    <comment ref="B9" authorId="0">
      <text>
        <r>
          <rPr>
            <sz val="10"/>
            <rFont val="SimSun"/>
            <charset val="134"/>
          </rPr>
          <t>«Максимум кликов» — объём в сетях, CR ниже интересов.</t>
        </r>
      </text>
    </comment>
    <comment ref="B10" authorId="0">
      <text>
        <r>
          <rPr>
            <sz val="10"/>
            <rFont val="SimSun"/>
            <charset val="134"/>
          </rPr>
          <t>Защита бренда в РСЯ — те же бенчи, что интересы+ретаргет.</t>
        </r>
      </text>
    </comment>
  </commentList>
</comments>
</file>

<file path=xl/sharedStrings.xml><?xml version="1.0" encoding="utf-8"?>
<sst xmlns="http://schemas.openxmlformats.org/spreadsheetml/2006/main" count="319" uniqueCount="175">
  <si>
    <t>Допущения: ECCO Kids — медиаплан Яндекс Директ</t>
  </si>
  <si>
    <t>Бюджет канала фиксирую 1 000 000 ₽/мес без НДС — это расход для ДРР. НДС 22% в KPI не мешаю. AOV 4 250 ₽ — допущение с витрины kids/boys, не 1С. Цель одна: «Покупка на сайте». Жёлтые ячейки — входы модели.</t>
  </si>
  <si>
    <t>Блок</t>
  </si>
  <si>
    <t>Параметр</t>
  </si>
  <si>
    <t>Значение</t>
  </si>
  <si>
    <t>Ед.</t>
  </si>
  <si>
    <t>Источник / логика</t>
  </si>
  <si>
    <t>Как используется</t>
  </si>
  <si>
    <t>Исходные данные ТЗ</t>
  </si>
  <si>
    <t>Бренд / посадка</t>
  </si>
  <si>
    <t>ECCO, kids, boys, посадочная kids/boys/</t>
  </si>
  <si>
    <t>текст</t>
  </si>
  <si>
    <t>ТЗ экзамена (часть 3)</t>
  </si>
  <si>
    <t>Фильтр семантики и объявлений</t>
  </si>
  <si>
    <t>Канал</t>
  </si>
  <si>
    <t>Только Яндекс Директ</t>
  </si>
  <si>
    <t>ТЗ: другие каналы запрещены</t>
  </si>
  <si>
    <t>Все строки медиаплана</t>
  </si>
  <si>
    <t>Месячный бюджет без НДС</t>
  </si>
  <si>
    <t>₽</t>
  </si>
  <si>
    <t>ТЗ: 1 млн ₽/мес без НДС</t>
  </si>
  <si>
    <t>База бюджета инструментов</t>
  </si>
  <si>
    <t>Ставка НДС</t>
  </si>
  <si>
    <t>%</t>
  </si>
  <si>
    <t>ТЗ: НДС 22%</t>
  </si>
  <si>
    <t>Справка; KPI считаем без НДС</t>
  </si>
  <si>
    <t>Горизонт, месяцев</t>
  </si>
  <si>
    <t>мес</t>
  </si>
  <si>
    <t>ТЗ: 12 месяцев</t>
  </si>
  <si>
    <t>Число столбцов сводки</t>
  </si>
  <si>
    <t>Целевое действие</t>
  </si>
  <si>
    <t>Покупка на сайте (Метрика)</t>
  </si>
  <si>
    <t>ТЗ: цель «Покупка на сайте»</t>
  </si>
  <si>
    <t>CR и покупки</t>
  </si>
  <si>
    <t>KPI эффективности</t>
  </si>
  <si>
    <t>ДРР = расход без НДС / выручка</t>
  </si>
  <si>
    <t>ТЗ: формула ДРР</t>
  </si>
  <si>
    <t>Листы сводок</t>
  </si>
  <si>
    <t>Коридор ДРР (ориентир)</t>
  </si>
  <si>
    <t>15–25%</t>
  </si>
  <si>
    <t>ТЗ: коридор эффективности</t>
  </si>
  <si>
    <t>Проверка сводки за год</t>
  </si>
  <si>
    <t>С сайта / витрины</t>
  </si>
  <si>
    <t>Средний чек (AOV)</t>
  </si>
  <si>
    <t>Витрина ecco-shoes.kz kids: 5 SKU 24 900–54 900 ₸ ≈ 4 150–9 150 ₽, медиана ближе к низу; округлили</t>
  </si>
  <si>
    <t>Выручка = покупки × AOV</t>
  </si>
  <si>
    <t>Ценовой якорь витрины</t>
  </si>
  <si>
    <t>24900–54900 ₸</t>
  </si>
  <si>
    <t>Карточки kids/boys на сайте (просмотр 2026-04)</t>
  </si>
  <si>
    <t>Обоснование AOV</t>
  </si>
  <si>
    <t>Курс ориентир</t>
  </si>
  <si>
    <t>1 ₸ ≈ 0,167 ₽</t>
  </si>
  <si>
    <t>Округление для перевода витрины в рубли</t>
  </si>
  <si>
    <t>Только пояснение AOV</t>
  </si>
  <si>
    <t>Наше усмотрение</t>
  </si>
  <si>
    <t>Старт горизонта</t>
  </si>
  <si>
    <t>дата</t>
  </si>
  <si>
    <t>Приняли сентябрь — школьный сезон kids, полный год до авг 2027</t>
  </si>
  <si>
    <t>Подписи месяцев</t>
  </si>
  <si>
    <t>Число кампаний ЕПК</t>
  </si>
  <si>
    <t>шт</t>
  </si>
  <si>
    <t>ТЗ: 4–7 инструментов; взяли 6 ЕПК (3 поиск + 3 сети)</t>
  </si>
  <si>
    <t>Лист «Инструменты»</t>
  </si>
  <si>
    <t>Тип кампании</t>
  </si>
  <si>
    <t>ЕПК</t>
  </si>
  <si>
    <t>В Директе 2026 тип кампании = ЕПК; товарное/графика — тип объявления</t>
  </si>
  <si>
    <t>Колонка «Тип кампании»</t>
  </si>
  <si>
    <t>Сезонность бюджета</t>
  </si>
  <si>
    <t>Равномерно 1/12</t>
  </si>
  <si>
    <t>ТЗ не задаёт сезонность; бюджет не плаваем по месяцам</t>
  </si>
  <si>
    <t>Медиаплан на год</t>
  </si>
  <si>
    <t>Модель воронки</t>
  </si>
  <si>
    <t>Показы → клики → покупки → выручка</t>
  </si>
  <si>
    <t>Без промежуточной заявки: цель ТЗ — покупка</t>
  </si>
  <si>
    <t>Формулы кликов/покупок</t>
  </si>
  <si>
    <t>Округление денег</t>
  </si>
  <si>
    <t>До целых ₽</t>
  </si>
  <si>
    <t>ROUND в формулах бюджета/выручки</t>
  </si>
  <si>
    <t>Все денежные KPI</t>
  </si>
  <si>
    <t>Места показа в одной ЕПК</t>
  </si>
  <si>
    <t>Не смешиваем Поиск и РСЯ</t>
  </si>
  <si>
    <t>Head of PPC: грязный CR и нечитаемый аукцион</t>
  </si>
  <si>
    <t>6 отдельных ЕПК по местам показа</t>
  </si>
  <si>
    <t>Вывод Head of PPC</t>
  </si>
  <si>
    <t>Бюджет канала — 1 000 000 ₽/мес без НДС, это база для ДРР. AOV 4 250 ₽ взял с витрины kids/boys, не из 1С — это допущение, не факт кабинета. Цель одна: «Покупка на сайте», автостратегии по умолчанию. Поиск и РСЯ в одной ЕПК не смешиваю — иначе не прочитаем аукцион и CR. Жёлтые ячейки здесь и на «Инструментах» — единственные входы модели.</t>
  </si>
  <si>
    <t>Инструменты: 6 кампаний ЕПК и бенчмарки воронки</t>
  </si>
  <si>
    <t>Поиск и РСЯ в одной кампании не смешиваю: иначе не прочитаем аукцион и CR. 32% на категорийный поиск — основной спрос родителей. Бренд дешевле клика, его задача — забрать свой трафик, не растить охват. Доля × бюджет из Допущения!C7; CTR/CPC/CR — жёлтые входы.</t>
  </si>
  <si>
    <t>#</t>
  </si>
  <si>
    <t>Кампания</t>
  </si>
  <si>
    <t>Тип площадки</t>
  </si>
  <si>
    <t>Доп. инструменты</t>
  </si>
  <si>
    <t>Тип объявлений</t>
  </si>
  <si>
    <t>Стратегия</t>
  </si>
  <si>
    <t>Доля бюджета</t>
  </si>
  <si>
    <t>Бюджет/мес, ₽</t>
  </si>
  <si>
    <t>CTR</t>
  </si>
  <si>
    <t>CPC, ₽</t>
  </si>
  <si>
    <t>CR в покупку</t>
  </si>
  <si>
    <t>Клики/мес</t>
  </si>
  <si>
    <t>Покупки/мес</t>
  </si>
  <si>
    <t>ECCO Kids · бренд · Поиск</t>
  </si>
  <si>
    <t>Поиск</t>
  </si>
  <si>
    <t>ключи бренд / бренд+товар</t>
  </si>
  <si>
    <t>текстово-графические</t>
  </si>
  <si>
    <t>Максимум конверсий</t>
  </si>
  <si>
    <t>ECCO Kids · категория boys · Поиск</t>
  </si>
  <si>
    <t>ключи категория kids/boys/кроссовки</t>
  </si>
  <si>
    <t>ECCO Kids · товарная галерея · Поиск</t>
  </si>
  <si>
    <t>фид + товарные объявления</t>
  </si>
  <si>
    <t>товарные</t>
  </si>
  <si>
    <t>ECCO Kids · интересы и ретаргетинг · РСЯ</t>
  </si>
  <si>
    <t>РСЯ</t>
  </si>
  <si>
    <t>интересы (kids/fashion/родители) + ретаргетинг визитов/корзины</t>
  </si>
  <si>
    <t>графические + текстово-графические</t>
  </si>
  <si>
    <t>ECCO Kids · автотаргетинг · РСЯ</t>
  </si>
  <si>
    <t>автотаргетинг</t>
  </si>
  <si>
    <t>Максимум кликов</t>
  </si>
  <si>
    <t>ECCO Kids · защита бренда · РСЯ</t>
  </si>
  <si>
    <t>бренд в сетях</t>
  </si>
  <si>
    <t/>
  </si>
  <si>
    <t>Итого / месяц</t>
  </si>
  <si>
    <t>Проверка месяца (формулы)</t>
  </si>
  <si>
    <t>Выручка / мес</t>
  </si>
  <si>
    <t>ДРР / мес</t>
  </si>
  <si>
    <t>CPA / мес</t>
  </si>
  <si>
    <t>Контроль долей</t>
  </si>
  <si>
    <t>Комментарий к бенчам (наше усмотрение, не кабинет)</t>
  </si>
  <si>
    <t>Поиск: бренд CTR 10% / CPC 28 ₽ / CR 6,5% — дешевле и конвертит лучше категории boys (4,5% / 48 ₽ / 3,8%). Товарная галерея 7% / 44 ₽ / 4,5% — карточка поднимает CTR. РСЯ: CTR 0,8% и CPC 11 ₽ общие; CR 2,5% у интересов и защиты бренда, 1,5% у автотаргета «Максимум кликов». Кампанию «Поиск и РСЯ» в план не беру — грязный CR и аукцион.</t>
  </si>
  <si>
    <t>Итог месяца = сумма ROUND(доля × 1 000 000) — округление может дать ±2 ₽, это нормально. ДРР месяца держу в коридоре 15–25% — крутите жёлтые CTR/CPC/CR. Тип кампании везде ЕПК; «Поиск и РСЯ» как одна кампания отклонена — читаемость аукциона важнее. Стратегии из справки Директа; для e-com по умолчанию «Максимум конверсий» и цель «Покупка на сайте».</t>
  </si>
  <si>
    <t>Медиаплан на год: 6 кампаний × 12 месяцев (все цифры — формулы)</t>
  </si>
  <si>
    <t>Сетка — 6 ЕПК × 12 месяцев. ДРР года = сумма расхода / сумма выручки, не среднее ДРР строк. Крутим жёлтые CTR/CPC/CR на «Инструментах», не копируем итоги. Показы = клики / CTR; клики = бюджет / CPC; покупки = клики × CR; выручка = покупки × AOV.</t>
  </si>
  <si>
    <t>Месяц</t>
  </si>
  <si>
    <t>Бюджет, ₽</t>
  </si>
  <si>
    <t>Показы</t>
  </si>
  <si>
    <t>Клики</t>
  </si>
  <si>
    <t>CR</t>
  </si>
  <si>
    <t>Покупки</t>
  </si>
  <si>
    <t>Выручка, ₽</t>
  </si>
  <si>
    <t>ДРР</t>
  </si>
  <si>
    <t>Сен 2026</t>
  </si>
  <si>
    <t>Окт 2026</t>
  </si>
  <si>
    <t>Ноя 2026</t>
  </si>
  <si>
    <t>Дек 2026</t>
  </si>
  <si>
    <t>Янв 2027</t>
  </si>
  <si>
    <t>Фев 2027</t>
  </si>
  <si>
    <t>Мар 2027</t>
  </si>
  <si>
    <t>Апр 2027</t>
  </si>
  <si>
    <t>Май 2027</t>
  </si>
  <si>
    <t>Июн 2027</t>
  </si>
  <si>
    <t>Июл 2027</t>
  </si>
  <si>
    <t>Авг 2027</t>
  </si>
  <si>
    <t>Итого за год</t>
  </si>
  <si>
    <t>72 строки = 6 ЕПК × 12 месяцев, бюджет месяца равный — сезонность пока не закладывал. ДРР года в колонке N = SUM расхода / SUM выручки — совпадает со сводкой за год. Не копируйте числа: меняйте жёлтые бенчи на «Инструментах». Если сентябрь/зима заберут долю — режем автотаргетинг РСЯ первым, бренд поиска не трогаем.</t>
  </si>
  <si>
    <t>Сводка по месяцам: SUMIF с листа «Медиаплан на год»</t>
  </si>
  <si>
    <t>Месяцы в модели равные, пока нет сезонного сдвига базы. ДРР месяца = сумма расхода / сумма выручки, не среднее ДРР кампаний.</t>
  </si>
  <si>
    <t>Расход, ₽</t>
  </si>
  <si>
    <t>CPA, ₽</t>
  </si>
  <si>
    <t>Итого год</t>
  </si>
  <si>
    <t>Месяцы одинаковые — модель без сезонности, расход и ДРР повторяются 12 раз. Если сентябрь/зима заберут долю — режем автотаргетинг РСЯ первым, бренд поиска не трогаем. ДРР = расход / выручка по сумме кампаний месяца. Выручка стабильно выше расхода при ДРР ~15% — это целевой коридор приёмки плана.</t>
  </si>
  <si>
    <t>Сводка за год: инструменты и KPI (формулы с «Инструментов» × 12)</t>
  </si>
  <si>
    <t>Коридор ДРР 15–25% — условие приёмки плана. Годовая строка = месяц × 12; доли и бенчи не меняются.</t>
  </si>
  <si>
    <t>Доля</t>
  </si>
  <si>
    <t>Расход год, ₽</t>
  </si>
  <si>
    <t>Клики год</t>
  </si>
  <si>
    <t>Покупки год</t>
  </si>
  <si>
    <t>Выручка год, ₽</t>
  </si>
  <si>
    <t>Вклад в покупки</t>
  </si>
  <si>
    <t>Сверка с сеткой года</t>
  </si>
  <si>
    <t>Расход (сводка)</t>
  </si>
  <si>
    <t>Расход (сетка)</t>
  </si>
  <si>
    <t>Расхождение</t>
  </si>
  <si>
    <t>Выручка (сводка)</t>
  </si>
  <si>
    <t>Выручка (сетка)</t>
  </si>
  <si>
    <t>ДРР в коридоре 15–25%</t>
  </si>
  <si>
    <t>Коридор ДРР 15–25% — условие приёмки плана; ячейка B16 это проверяет. Категорийный поиск даёт объём покупок; автотаргетинг РСЯ — самый дорогой ДРР при малой доле, это плата за объём в сетях. Расхождение сводки и сетки — 0 ₽ при корректных формулах. После запуска сверяем факт CTR/CPC/CR и крутим жёлтые входы — это модель, не кабинет.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</si>
</sst>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0.0%"/>
    <numFmt numFmtId="179" formatCode="#,##0.0"/>
    <numFmt numFmtId="180" formatCode="#,##0&quot; ₽&quot;"/>
    <numFmt numFmtId="181" formatCode="yyyy\-mm\-dd"/>
  </numFmts>
  <fonts count="28">
    <font>
      <sz val="11"/>
      <color theme="1"/>
      <name val="Calibri"/>
      <charset val="134"/>
      <scheme val="minor"/>
    </font>
    <font>
      <b/>
      <sz val="16"/>
      <color rgb="FF1F4E79"/>
      <name val="Calibri"/>
      <charset val="134"/>
    </font>
    <font>
      <i/>
      <sz val="10"/>
      <color rgb="FF555555"/>
      <name val="Calibri"/>
      <charset val="134"/>
    </font>
    <font>
      <b/>
      <sz val="11"/>
      <color rgb="FFFFFFFF"/>
      <name val="Calibri"/>
      <charset val="134"/>
    </font>
    <font>
      <sz val="11"/>
      <color rgb="FF333333"/>
      <name val="Calibri"/>
      <charset val="134"/>
    </font>
    <font>
      <b/>
      <sz val="11"/>
      <color rgb="FF1F4E79"/>
      <name val="Calibri"/>
      <charset val="134"/>
    </font>
    <font>
      <b/>
      <sz val="12"/>
      <color rgb="FF1F4E7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4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79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78" fontId="4" fillId="4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79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178" fontId="5" fillId="5" borderId="1" xfId="0" applyNumberFormat="1" applyFont="1" applyFill="1" applyBorder="1" applyAlignment="1">
      <alignment vertical="center" wrapText="1"/>
    </xf>
    <xf numFmtId="3" fontId="5" fillId="5" borderId="1" xfId="0" applyNumberFormat="1" applyFont="1" applyFill="1" applyBorder="1" applyAlignment="1">
      <alignment vertical="center" wrapText="1"/>
    </xf>
    <xf numFmtId="179" fontId="5" fillId="5" borderId="1" xfId="0" applyNumberFormat="1" applyFont="1" applyFill="1" applyBorder="1" applyAlignment="1">
      <alignment vertical="center" wrapText="1"/>
    </xf>
    <xf numFmtId="0" fontId="6" fillId="0" borderId="0" xfId="0" applyFont="1"/>
    <xf numFmtId="0" fontId="4" fillId="6" borderId="1" xfId="0" applyFont="1" applyFill="1" applyBorder="1" applyAlignment="1">
      <alignment vertical="center" wrapText="1"/>
    </xf>
    <xf numFmtId="3" fontId="4" fillId="6" borderId="1" xfId="0" applyNumberFormat="1" applyFont="1" applyFill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178" fontId="4" fillId="3" borderId="1" xfId="0" applyNumberFormat="1" applyFont="1" applyFill="1" applyBorder="1" applyAlignment="1">
      <alignment vertical="center" wrapText="1"/>
    </xf>
    <xf numFmtId="179" fontId="4" fillId="3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3" fontId="4" fillId="4" borderId="1" xfId="0" applyNumberFormat="1" applyFont="1" applyFill="1" applyBorder="1" applyAlignment="1">
      <alignment vertical="center" wrapText="1"/>
    </xf>
    <xf numFmtId="178" fontId="4" fillId="4" borderId="1" xfId="0" applyNumberFormat="1" applyFont="1" applyFill="1" applyBorder="1" applyAlignment="1">
      <alignment vertical="center" wrapText="1"/>
    </xf>
    <xf numFmtId="179" fontId="4" fillId="4" borderId="1" xfId="0" applyNumberFormat="1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10" fontId="4" fillId="7" borderId="1" xfId="0" applyNumberFormat="1" applyFont="1" applyFill="1" applyBorder="1" applyAlignment="1">
      <alignment horizontal="center" vertical="center" wrapText="1"/>
    </xf>
    <xf numFmtId="178" fontId="4" fillId="7" borderId="1" xfId="0" applyNumberFormat="1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178" fontId="4" fillId="8" borderId="1" xfId="0" applyNumberFormat="1" applyFont="1" applyFill="1" applyBorder="1" applyAlignment="1">
      <alignment horizontal="center" vertical="center" wrapText="1"/>
    </xf>
    <xf numFmtId="10" fontId="4" fillId="8" borderId="1" xfId="0" applyNumberFormat="1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vertical="center" wrapText="1"/>
    </xf>
    <xf numFmtId="178" fontId="4" fillId="8" borderId="1" xfId="0" applyNumberFormat="1" applyFont="1" applyFill="1" applyBorder="1" applyAlignment="1">
      <alignment vertical="center" wrapText="1"/>
    </xf>
    <xf numFmtId="179" fontId="4" fillId="8" borderId="1" xfId="0" applyNumberFormat="1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180" fontId="4" fillId="8" borderId="1" xfId="0" applyNumberFormat="1" applyFont="1" applyFill="1" applyBorder="1" applyAlignment="1">
      <alignment vertical="center" wrapText="1"/>
    </xf>
    <xf numFmtId="9" fontId="4" fillId="9" borderId="1" xfId="0" applyNumberFormat="1" applyFont="1" applyFill="1" applyBorder="1" applyAlignment="1">
      <alignment vertical="center" wrapText="1"/>
    </xf>
    <xf numFmtId="1" fontId="4" fillId="9" borderId="1" xfId="0" applyNumberFormat="1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181" fontId="4" fillId="8" borderId="1" xfId="0" applyNumberFormat="1" applyFont="1" applyFill="1" applyBorder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Расход и выручка по месяцам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'Сводка по месяцам'!$B$4</c:f>
              <c:strCache>
                <c:ptCount val="1"/>
                <c:pt idx="0">
                  <c:v>Расход, ₽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'Сводка по месяцам'!$A$5:$A$16</c:f>
              <c:strCache>
                <c:ptCount val="12"/>
                <c:pt idx="0" c:formatCode="General">
                  <c:v>Сен 2026</c:v>
                </c:pt>
                <c:pt idx="1" c:formatCode="General">
                  <c:v>Окт 2026</c:v>
                </c:pt>
                <c:pt idx="2" c:formatCode="General">
                  <c:v>Ноя 2026</c:v>
                </c:pt>
                <c:pt idx="3" c:formatCode="General">
                  <c:v>Дек 2026</c:v>
                </c:pt>
                <c:pt idx="4" c:formatCode="General">
                  <c:v>Янв 2027</c:v>
                </c:pt>
                <c:pt idx="5" c:formatCode="General">
                  <c:v>Фев 2027</c:v>
                </c:pt>
                <c:pt idx="6" c:formatCode="General">
                  <c:v>Мар 2027</c:v>
                </c:pt>
                <c:pt idx="7" c:formatCode="General">
                  <c:v>Апр 2027</c:v>
                </c:pt>
                <c:pt idx="8" c:formatCode="General">
                  <c:v>Май 2027</c:v>
                </c:pt>
                <c:pt idx="9" c:formatCode="General">
                  <c:v>Июн 2027</c:v>
                </c:pt>
                <c:pt idx="10" c:formatCode="General">
                  <c:v>Июл 2027</c:v>
                </c:pt>
                <c:pt idx="11" c:formatCode="General">
                  <c:v>Авг 2027</c:v>
                </c:pt>
              </c:strCache>
            </c:strRef>
          </c:cat>
          <c:val>
            <c:numRef>
              <c:f>'Сводка по месяцам'!$B$5:$B$16</c:f>
              <c:numCache>
                <c:formatCode>#,##0</c:formatCode>
                <c:ptCount val="12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</c:numCache>
            </c:numRef>
          </c:val>
        </c:ser>
        <c:ser>
          <c:idx val="1"/>
          <c:order val="1"/>
          <c:tx>
            <c:strRef>
              <c:f>'Сводка по месяцам'!$F$4</c:f>
              <c:strCache>
                <c:ptCount val="1"/>
                <c:pt idx="0">
                  <c:v>Выручка, ₽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'Сводка по месяцам'!$A$5:$A$16</c:f>
              <c:strCache>
                <c:ptCount val="12"/>
                <c:pt idx="0" c:formatCode="General">
                  <c:v>Сен 2026</c:v>
                </c:pt>
                <c:pt idx="1" c:formatCode="General">
                  <c:v>Окт 2026</c:v>
                </c:pt>
                <c:pt idx="2" c:formatCode="General">
                  <c:v>Ноя 2026</c:v>
                </c:pt>
                <c:pt idx="3" c:formatCode="General">
                  <c:v>Дек 2026</c:v>
                </c:pt>
                <c:pt idx="4" c:formatCode="General">
                  <c:v>Янв 2027</c:v>
                </c:pt>
                <c:pt idx="5" c:formatCode="General">
                  <c:v>Фев 2027</c:v>
                </c:pt>
                <c:pt idx="6" c:formatCode="General">
                  <c:v>Мар 2027</c:v>
                </c:pt>
                <c:pt idx="7" c:formatCode="General">
                  <c:v>Апр 2027</c:v>
                </c:pt>
                <c:pt idx="8" c:formatCode="General">
                  <c:v>Май 2027</c:v>
                </c:pt>
                <c:pt idx="9" c:formatCode="General">
                  <c:v>Июн 2027</c:v>
                </c:pt>
                <c:pt idx="10" c:formatCode="General">
                  <c:v>Июл 2027</c:v>
                </c:pt>
                <c:pt idx="11" c:formatCode="General">
                  <c:v>Авг 2027</c:v>
                </c:pt>
              </c:strCache>
            </c:strRef>
          </c:cat>
          <c:val>
            <c:numRef>
              <c:f>'Сводка по месяцам'!$F$5:$F$16</c:f>
              <c:numCache>
                <c:formatCode>#,##0</c:formatCode>
                <c:ptCount val="12"/>
                <c:pt idx="0">
                  <c:v>6498250</c:v>
                </c:pt>
                <c:pt idx="1">
                  <c:v>6498250</c:v>
                </c:pt>
                <c:pt idx="2">
                  <c:v>6498250</c:v>
                </c:pt>
                <c:pt idx="3">
                  <c:v>6498250</c:v>
                </c:pt>
                <c:pt idx="4">
                  <c:v>6498250</c:v>
                </c:pt>
                <c:pt idx="5">
                  <c:v>6498250</c:v>
                </c:pt>
                <c:pt idx="6">
                  <c:v>6498250</c:v>
                </c:pt>
                <c:pt idx="7">
                  <c:v>6498250</c:v>
                </c:pt>
                <c:pt idx="8">
                  <c:v>6498250</c:v>
                </c:pt>
                <c:pt idx="9">
                  <c:v>6498250</c:v>
                </c:pt>
                <c:pt idx="10">
                  <c:v>6498250</c:v>
                </c:pt>
                <c:pt idx="11">
                  <c:v>6498250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₽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c83963-47a1-4615-b2ea-157cb7c88f21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Покупки за год по кампаниям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'Сводка за год'!$G$4</c:f>
              <c:strCache>
                <c:ptCount val="1"/>
                <c:pt idx="0">
                  <c:v>Покупки год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'Сводка за год'!$A$5:$A$10</c:f>
              <c:strCache>
                <c:ptCount val="6"/>
                <c:pt idx="0" c:formatCode="General">
                  <c:v>ECCO Kids · бренд · Поиск</c:v>
                </c:pt>
                <c:pt idx="1" c:formatCode="General">
                  <c:v>ECCO Kids · категория boys · Поиск</c:v>
                </c:pt>
                <c:pt idx="2" c:formatCode="General">
                  <c:v>ECCO Kids · товарная галерея · Поиск</c:v>
                </c:pt>
                <c:pt idx="3" c:formatCode="General">
                  <c:v>ECCO Kids · интересы и ретаргетинг · РСЯ</c:v>
                </c:pt>
                <c:pt idx="4" c:formatCode="General">
                  <c:v>ECCO Kids · автотаргетинг · РСЯ</c:v>
                </c:pt>
                <c:pt idx="5" c:formatCode="General">
                  <c:v>ECCO Kids · защита бренда · РСЯ</c:v>
                </c:pt>
              </c:strCache>
            </c:strRef>
          </c:cat>
          <c:val>
            <c:numRef>
              <c:f>'Сводка за год'!$G$5:$G$10</c:f>
              <c:numCache>
                <c:formatCode>#,##0</c:formatCode>
                <c:ptCount val="6"/>
                <c:pt idx="0">
                  <c:v>5016</c:v>
                </c:pt>
                <c:pt idx="1">
                  <c:v>3036</c:v>
                </c:pt>
                <c:pt idx="2">
                  <c:v>1836</c:v>
                </c:pt>
                <c:pt idx="3">
                  <c:v>5460</c:v>
                </c:pt>
                <c:pt idx="4">
                  <c:v>1632</c:v>
                </c:pt>
                <c:pt idx="5">
                  <c:v>1368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62140db-a01d-433f-a000-6acc8da9d23f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27</xdr:row>
      <xdr:rowOff>0</xdr:rowOff>
    </xdr:from>
    <xdr:ext cx="6480000" cy="2880000"/>
    <xdr:graphicFrame>
      <xdr:nvGraphicFramePr>
        <xdr:cNvPr id="2" name="Chart 1"/>
        <xdr:cNvGraphicFramePr/>
      </xdr:nvGraphicFramePr>
      <xdr:xfrm>
        <a:off x="0" y="6169025"/>
        <a:ext cx="647954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25</xdr:row>
      <xdr:rowOff>0</xdr:rowOff>
    </xdr:from>
    <xdr:ext cx="6480000" cy="2880000"/>
    <xdr:graphicFrame>
      <xdr:nvGraphicFramePr>
        <xdr:cNvPr id="2" name="Chart 1"/>
        <xdr:cNvGraphicFramePr/>
      </xdr:nvGraphicFramePr>
      <xdr:xfrm>
        <a:off x="0" y="5797550"/>
        <a:ext cx="647954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  <pageSetUpPr fitToPage="1"/>
  </sheetPr>
  <dimension ref="A1:F26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5" outlineLevelCol="5"/>
  <cols>
    <col min="1" max="1" width="24" customWidth="1"/>
    <col min="2" max="2" width="28" customWidth="1"/>
    <col min="3" max="3" width="36" customWidth="1"/>
    <col min="4" max="4" width="10" customWidth="1"/>
    <col min="5" max="5" width="62" customWidth="1"/>
    <col min="6" max="6" width="36" customWidth="1"/>
  </cols>
  <sheetData>
    <row r="1" ht="24" customHeight="1" spans="1:6">
      <c r="A1" s="1" t="s">
        <v>0</v>
      </c>
    </row>
    <row r="2" ht="40" customHeight="1" spans="1:6">
      <c r="A2" s="2" t="s">
        <v>1</v>
      </c>
    </row>
    <row r="4" ht="22" customHeight="1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>
      <c r="A5" s="44" t="s">
        <v>8</v>
      </c>
      <c r="B5" s="43" t="s">
        <v>9</v>
      </c>
      <c r="C5" s="43" t="s">
        <v>10</v>
      </c>
      <c r="D5" s="43" t="s">
        <v>11</v>
      </c>
      <c r="E5" s="43" t="s">
        <v>12</v>
      </c>
      <c r="F5" s="43" t="s">
        <v>13</v>
      </c>
    </row>
    <row r="6" ht="22" customHeight="1" spans="1:6">
      <c r="A6" s="44" t="s">
        <v>8</v>
      </c>
      <c r="B6" s="43" t="s">
        <v>14</v>
      </c>
      <c r="C6" s="43" t="s">
        <v>15</v>
      </c>
      <c r="D6" s="43" t="s">
        <v>11</v>
      </c>
      <c r="E6" s="43" t="s">
        <v>16</v>
      </c>
      <c r="F6" s="43" t="s">
        <v>17</v>
      </c>
    </row>
    <row r="7" ht="22" customHeight="1" spans="1:6">
      <c r="A7" s="45" t="s">
        <v>8</v>
      </c>
      <c r="B7" s="46" t="s">
        <v>18</v>
      </c>
      <c r="C7" s="47">
        <v>1000000</v>
      </c>
      <c r="D7" s="46" t="s">
        <v>19</v>
      </c>
      <c r="E7" s="46" t="s">
        <v>20</v>
      </c>
      <c r="F7" s="46" t="s">
        <v>21</v>
      </c>
    </row>
    <row r="8" ht="22" customHeight="1" spans="1:6">
      <c r="A8" s="44" t="s">
        <v>8</v>
      </c>
      <c r="B8" s="43" t="s">
        <v>22</v>
      </c>
      <c r="C8" s="48">
        <v>0.22</v>
      </c>
      <c r="D8" s="43" t="s">
        <v>23</v>
      </c>
      <c r="E8" s="43" t="s">
        <v>24</v>
      </c>
      <c r="F8" s="43" t="s">
        <v>25</v>
      </c>
    </row>
    <row r="9" ht="22" customHeight="1" spans="1:6">
      <c r="A9" s="44" t="s">
        <v>8</v>
      </c>
      <c r="B9" s="43" t="s">
        <v>26</v>
      </c>
      <c r="C9" s="49">
        <v>12</v>
      </c>
      <c r="D9" s="43" t="s">
        <v>27</v>
      </c>
      <c r="E9" s="43" t="s">
        <v>28</v>
      </c>
      <c r="F9" s="43" t="s">
        <v>29</v>
      </c>
    </row>
    <row r="10" ht="22" customHeight="1" spans="1:6">
      <c r="A10" s="44" t="s">
        <v>8</v>
      </c>
      <c r="B10" s="43" t="s">
        <v>30</v>
      </c>
      <c r="C10" s="43" t="s">
        <v>31</v>
      </c>
      <c r="D10" s="43" t="s">
        <v>11</v>
      </c>
      <c r="E10" s="43" t="s">
        <v>32</v>
      </c>
      <c r="F10" s="43" t="s">
        <v>33</v>
      </c>
    </row>
    <row r="11" ht="22" customHeight="1" spans="1:6">
      <c r="A11" s="44" t="s">
        <v>8</v>
      </c>
      <c r="B11" s="43" t="s">
        <v>34</v>
      </c>
      <c r="C11" s="43" t="s">
        <v>35</v>
      </c>
      <c r="D11" s="43" t="s">
        <v>11</v>
      </c>
      <c r="E11" s="43" t="s">
        <v>36</v>
      </c>
      <c r="F11" s="43" t="s">
        <v>37</v>
      </c>
    </row>
    <row r="12" ht="22" customHeight="1" spans="1:6">
      <c r="A12" s="44" t="s">
        <v>8</v>
      </c>
      <c r="B12" s="43" t="s">
        <v>38</v>
      </c>
      <c r="C12" s="43" t="s">
        <v>39</v>
      </c>
      <c r="D12" s="43" t="s">
        <v>11</v>
      </c>
      <c r="E12" s="43" t="s">
        <v>40</v>
      </c>
      <c r="F12" s="43" t="s">
        <v>41</v>
      </c>
    </row>
    <row r="13" ht="36" customHeight="1" spans="1:6">
      <c r="A13" s="45" t="s">
        <v>42</v>
      </c>
      <c r="B13" s="46" t="s">
        <v>43</v>
      </c>
      <c r="C13" s="47">
        <v>4250</v>
      </c>
      <c r="D13" s="46" t="s">
        <v>19</v>
      </c>
      <c r="E13" s="46" t="s">
        <v>44</v>
      </c>
      <c r="F13" s="46" t="s">
        <v>45</v>
      </c>
    </row>
    <row r="14" ht="36" customHeight="1" spans="1:6">
      <c r="A14" s="50" t="s">
        <v>42</v>
      </c>
      <c r="B14" s="51" t="s">
        <v>46</v>
      </c>
      <c r="C14" s="51" t="s">
        <v>47</v>
      </c>
      <c r="D14" s="51" t="s">
        <v>11</v>
      </c>
      <c r="E14" s="51" t="s">
        <v>48</v>
      </c>
      <c r="F14" s="51" t="s">
        <v>49</v>
      </c>
    </row>
    <row r="15" ht="22" customHeight="1" spans="1:6">
      <c r="A15" s="50" t="s">
        <v>42</v>
      </c>
      <c r="B15" s="51" t="s">
        <v>50</v>
      </c>
      <c r="C15" s="51" t="s">
        <v>51</v>
      </c>
      <c r="D15" s="51" t="s">
        <v>11</v>
      </c>
      <c r="E15" s="51" t="s">
        <v>52</v>
      </c>
      <c r="F15" s="51" t="s">
        <v>53</v>
      </c>
    </row>
    <row r="16" ht="22" customHeight="1" spans="1:6">
      <c r="A16" s="45" t="s">
        <v>54</v>
      </c>
      <c r="B16" s="46" t="s">
        <v>55</v>
      </c>
      <c r="C16" s="52">
        <v>46266</v>
      </c>
      <c r="D16" s="46" t="s">
        <v>56</v>
      </c>
      <c r="E16" s="46" t="s">
        <v>57</v>
      </c>
      <c r="F16" s="46" t="s">
        <v>58</v>
      </c>
    </row>
    <row r="17" ht="22" customHeight="1" spans="1:6">
      <c r="A17" s="44" t="s">
        <v>54</v>
      </c>
      <c r="B17" s="43" t="s">
        <v>59</v>
      </c>
      <c r="C17" s="49">
        <v>6</v>
      </c>
      <c r="D17" s="43" t="s">
        <v>60</v>
      </c>
      <c r="E17" s="43" t="s">
        <v>61</v>
      </c>
      <c r="F17" s="43" t="s">
        <v>62</v>
      </c>
    </row>
    <row r="18" ht="22" customHeight="1" spans="1:6">
      <c r="A18" s="44" t="s">
        <v>54</v>
      </c>
      <c r="B18" s="43" t="s">
        <v>63</v>
      </c>
      <c r="C18" s="43" t="s">
        <v>64</v>
      </c>
      <c r="D18" s="43" t="s">
        <v>11</v>
      </c>
      <c r="E18" s="43" t="s">
        <v>65</v>
      </c>
      <c r="F18" s="43" t="s">
        <v>66</v>
      </c>
    </row>
    <row r="19" ht="22" customHeight="1" spans="1:6">
      <c r="A19" s="44" t="s">
        <v>54</v>
      </c>
      <c r="B19" s="43" t="s">
        <v>67</v>
      </c>
      <c r="C19" s="43" t="s">
        <v>68</v>
      </c>
      <c r="D19" s="43" t="s">
        <v>11</v>
      </c>
      <c r="E19" s="43" t="s">
        <v>69</v>
      </c>
      <c r="F19" s="43" t="s">
        <v>70</v>
      </c>
    </row>
    <row r="20" ht="22" customHeight="1" spans="1:6">
      <c r="A20" s="44" t="s">
        <v>54</v>
      </c>
      <c r="B20" s="43" t="s">
        <v>71</v>
      </c>
      <c r="C20" s="43" t="s">
        <v>72</v>
      </c>
      <c r="D20" s="43" t="s">
        <v>11</v>
      </c>
      <c r="E20" s="43" t="s">
        <v>73</v>
      </c>
      <c r="F20" s="43" t="s">
        <v>74</v>
      </c>
    </row>
    <row r="21" ht="22" customHeight="1" spans="1:6">
      <c r="A21" s="44" t="s">
        <v>54</v>
      </c>
      <c r="B21" s="43" t="s">
        <v>75</v>
      </c>
      <c r="C21" s="43" t="s">
        <v>76</v>
      </c>
      <c r="D21" s="43" t="s">
        <v>11</v>
      </c>
      <c r="E21" s="43" t="s">
        <v>77</v>
      </c>
      <c r="F21" s="43" t="s">
        <v>78</v>
      </c>
    </row>
    <row r="22" ht="22" customHeight="1" spans="1:6">
      <c r="A22" s="44" t="s">
        <v>54</v>
      </c>
      <c r="B22" s="43" t="s">
        <v>79</v>
      </c>
      <c r="C22" s="43" t="s">
        <v>80</v>
      </c>
      <c r="D22" s="43" t="s">
        <v>11</v>
      </c>
      <c r="E22" s="43" t="s">
        <v>81</v>
      </c>
      <c r="F22" s="43" t="s">
        <v>82</v>
      </c>
    </row>
    <row r="24" ht="15.75" spans="1:6">
      <c r="A24" s="21" t="s">
        <v>83</v>
      </c>
    </row>
    <row r="25" ht="80" customHeight="1" spans="1:6">
      <c r="A25" s="22" t="s">
        <v>84</v>
      </c>
    </row>
    <row r="26" ht="24" customHeight="1"/>
  </sheetData>
  <autoFilter xmlns:etc="http://www.wps.cn/officeDocument/2017/etCustomData" ref="A4:F22" etc:filterBottomFollowUsedRange="0">
    <extLst/>
  </autoFilter>
  <mergeCells count="4">
    <mergeCell ref="A1:F1"/>
    <mergeCell ref="A2:F2"/>
    <mergeCell ref="A24:F24"/>
    <mergeCell ref="A25:F26"/>
  </mergeCells>
  <pageMargins left="0.75" right="0.75" top="1" bottom="1" header="0.5" footer="0.5"/>
  <pageSetup paperSize="1" orientation="landscape"/>
  <headerFooter>
    <oddHeader>&amp;LECCO Kids · Яндекс Директ&amp;C&amp;B ECCO Kids · медиаплан Директ</oddHeader>
    <oddFooter>&amp;L&amp;D&amp;Rстр. &amp;P /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86C1"/>
    <pageSetUpPr fitToPage="1"/>
  </sheetPr>
  <dimension ref="A1:N26"/>
  <sheetViews>
    <sheetView showGridLines="0" workbookViewId="0">
      <pane ySplit="4" topLeftCell="A14" activePane="bottomLeft" state="frozen"/>
      <selection/>
      <selection pane="bottomLeft" activeCell="A1" sqref="A1:N1"/>
    </sheetView>
  </sheetViews>
  <sheetFormatPr defaultColWidth="9" defaultRowHeight="15"/>
  <cols>
    <col min="1" max="1" width="6" customWidth="1"/>
    <col min="2" max="2" width="34" customWidth="1"/>
    <col min="3" max="4" width="14" customWidth="1"/>
    <col min="5" max="5" width="28" customWidth="1"/>
    <col min="6" max="7" width="22" customWidth="1"/>
    <col min="8" max="8" width="14" customWidth="1"/>
    <col min="9" max="9" width="16" customWidth="1"/>
    <col min="10" max="10" width="10" customWidth="1"/>
    <col min="11" max="11" width="12" customWidth="1"/>
    <col min="12" max="12" width="14" customWidth="1"/>
    <col min="13" max="13" width="12" customWidth="1"/>
    <col min="14" max="14" width="14" customWidth="1"/>
  </cols>
  <sheetData>
    <row r="1" ht="21" spans="1:14">
      <c r="A1" s="1" t="s">
        <v>85</v>
      </c>
    </row>
    <row r="2" ht="40" customHeight="1" spans="1:14">
      <c r="A2" s="2" t="s">
        <v>86</v>
      </c>
    </row>
    <row r="4" ht="36" customHeight="1" spans="1:14">
      <c r="A4" s="3" t="s">
        <v>87</v>
      </c>
      <c r="B4" s="3" t="s">
        <v>88</v>
      </c>
      <c r="C4" s="3" t="s">
        <v>63</v>
      </c>
      <c r="D4" s="3" t="s">
        <v>89</v>
      </c>
      <c r="E4" s="3" t="s">
        <v>90</v>
      </c>
      <c r="F4" s="3" t="s">
        <v>91</v>
      </c>
      <c r="G4" s="3" t="s">
        <v>92</v>
      </c>
      <c r="H4" s="3" t="s">
        <v>93</v>
      </c>
      <c r="I4" s="3" t="s">
        <v>94</v>
      </c>
      <c r="J4" s="3" t="s">
        <v>95</v>
      </c>
      <c r="K4" s="3" t="s">
        <v>96</v>
      </c>
      <c r="L4" s="3" t="s">
        <v>97</v>
      </c>
      <c r="M4" s="3" t="s">
        <v>98</v>
      </c>
      <c r="N4" s="3" t="s">
        <v>99</v>
      </c>
    </row>
    <row r="5" ht="24" customHeight="1" spans="1:14">
      <c r="A5" s="10">
        <v>1</v>
      </c>
      <c r="B5" s="9" t="s">
        <v>100</v>
      </c>
      <c r="C5" s="10" t="s">
        <v>64</v>
      </c>
      <c r="D5" s="10" t="s">
        <v>101</v>
      </c>
      <c r="E5" s="9" t="s">
        <v>102</v>
      </c>
      <c r="F5" s="10" t="s">
        <v>103</v>
      </c>
      <c r="G5" s="10" t="s">
        <v>104</v>
      </c>
      <c r="H5" s="37">
        <v>0.18</v>
      </c>
      <c r="I5" s="12">
        <f>ROUND(Допущения!$C$7*H5,0)</f>
        <v>180000</v>
      </c>
      <c r="J5" s="38">
        <v>0.1</v>
      </c>
      <c r="K5" s="39">
        <v>28</v>
      </c>
      <c r="L5" s="38">
        <v>0.065</v>
      </c>
      <c r="M5" s="12">
        <f t="shared" ref="M5:M10" si="0">IF(K5=0,0,ROUND(I5/K5,0))</f>
        <v>6429</v>
      </c>
      <c r="N5" s="12">
        <f t="shared" ref="N5:N10" si="1">ROUND(M5*L5,0)</f>
        <v>418</v>
      </c>
    </row>
    <row r="6" ht="24" customHeight="1" spans="1:14">
      <c r="A6" s="5">
        <v>2</v>
      </c>
      <c r="B6" s="4" t="s">
        <v>105</v>
      </c>
      <c r="C6" s="5" t="s">
        <v>64</v>
      </c>
      <c r="D6" s="5" t="s">
        <v>101</v>
      </c>
      <c r="E6" s="4" t="s">
        <v>106</v>
      </c>
      <c r="F6" s="5" t="s">
        <v>103</v>
      </c>
      <c r="G6" s="5" t="s">
        <v>104</v>
      </c>
      <c r="H6" s="37">
        <v>0.32</v>
      </c>
      <c r="I6" s="7">
        <f>ROUND(Допущения!$C$7*H6,0)</f>
        <v>320000</v>
      </c>
      <c r="J6" s="38">
        <v>0.045</v>
      </c>
      <c r="K6" s="39">
        <v>48</v>
      </c>
      <c r="L6" s="38">
        <v>0.038</v>
      </c>
      <c r="M6" s="7">
        <f t="shared" si="0"/>
        <v>6667</v>
      </c>
      <c r="N6" s="7">
        <f t="shared" si="1"/>
        <v>253</v>
      </c>
    </row>
    <row r="7" ht="24" customHeight="1" spans="1:14">
      <c r="A7" s="10">
        <v>3</v>
      </c>
      <c r="B7" s="9" t="s">
        <v>107</v>
      </c>
      <c r="C7" s="10" t="s">
        <v>64</v>
      </c>
      <c r="D7" s="10" t="s">
        <v>101</v>
      </c>
      <c r="E7" s="9" t="s">
        <v>108</v>
      </c>
      <c r="F7" s="10" t="s">
        <v>109</v>
      </c>
      <c r="G7" s="10" t="s">
        <v>104</v>
      </c>
      <c r="H7" s="37">
        <v>0.15</v>
      </c>
      <c r="I7" s="12">
        <f>ROUND(Допущения!$C$7*H7,0)</f>
        <v>150000</v>
      </c>
      <c r="J7" s="38">
        <v>0.07</v>
      </c>
      <c r="K7" s="39">
        <v>44</v>
      </c>
      <c r="L7" s="38">
        <v>0.045</v>
      </c>
      <c r="M7" s="12">
        <f t="shared" si="0"/>
        <v>3409</v>
      </c>
      <c r="N7" s="12">
        <f t="shared" si="1"/>
        <v>153</v>
      </c>
    </row>
    <row r="8" ht="24" customHeight="1" spans="1:14">
      <c r="A8" s="5">
        <v>4</v>
      </c>
      <c r="B8" s="4" t="s">
        <v>110</v>
      </c>
      <c r="C8" s="5" t="s">
        <v>64</v>
      </c>
      <c r="D8" s="5" t="s">
        <v>111</v>
      </c>
      <c r="E8" s="4" t="s">
        <v>112</v>
      </c>
      <c r="F8" s="5" t="s">
        <v>113</v>
      </c>
      <c r="G8" s="5" t="s">
        <v>104</v>
      </c>
      <c r="H8" s="37">
        <v>0.2</v>
      </c>
      <c r="I8" s="7">
        <f>ROUND(Допущения!$C$7*H8,0)</f>
        <v>200000</v>
      </c>
      <c r="J8" s="38">
        <v>0.008</v>
      </c>
      <c r="K8" s="39">
        <v>11</v>
      </c>
      <c r="L8" s="38">
        <v>0.025</v>
      </c>
      <c r="M8" s="7">
        <f t="shared" si="0"/>
        <v>18182</v>
      </c>
      <c r="N8" s="7">
        <f t="shared" si="1"/>
        <v>455</v>
      </c>
    </row>
    <row r="9" ht="24" customHeight="1" spans="1:14">
      <c r="A9" s="10">
        <v>5</v>
      </c>
      <c r="B9" s="9" t="s">
        <v>114</v>
      </c>
      <c r="C9" s="10" t="s">
        <v>64</v>
      </c>
      <c r="D9" s="10" t="s">
        <v>111</v>
      </c>
      <c r="E9" s="9" t="s">
        <v>115</v>
      </c>
      <c r="F9" s="10" t="s">
        <v>113</v>
      </c>
      <c r="G9" s="10" t="s">
        <v>116</v>
      </c>
      <c r="H9" s="37">
        <v>0.1</v>
      </c>
      <c r="I9" s="12">
        <f>ROUND(Допущения!$C$7*H9,0)</f>
        <v>100000</v>
      </c>
      <c r="J9" s="38">
        <v>0.008</v>
      </c>
      <c r="K9" s="39">
        <v>11</v>
      </c>
      <c r="L9" s="38">
        <v>0.015</v>
      </c>
      <c r="M9" s="12">
        <f t="shared" si="0"/>
        <v>9091</v>
      </c>
      <c r="N9" s="12">
        <f t="shared" si="1"/>
        <v>136</v>
      </c>
    </row>
    <row r="10" ht="24" customHeight="1" spans="1:14">
      <c r="A10" s="5">
        <v>6</v>
      </c>
      <c r="B10" s="4" t="s">
        <v>117</v>
      </c>
      <c r="C10" s="5" t="s">
        <v>64</v>
      </c>
      <c r="D10" s="5" t="s">
        <v>111</v>
      </c>
      <c r="E10" s="4" t="s">
        <v>118</v>
      </c>
      <c r="F10" s="5" t="s">
        <v>113</v>
      </c>
      <c r="G10" s="5" t="s">
        <v>104</v>
      </c>
      <c r="H10" s="37">
        <v>0.05</v>
      </c>
      <c r="I10" s="7">
        <f>ROUND(Допущения!$C$7*H10,0)</f>
        <v>50000</v>
      </c>
      <c r="J10" s="38">
        <v>0.008</v>
      </c>
      <c r="K10" s="39">
        <v>11</v>
      </c>
      <c r="L10" s="38">
        <v>0.025</v>
      </c>
      <c r="M10" s="7">
        <f t="shared" si="0"/>
        <v>4545</v>
      </c>
      <c r="N10" s="7">
        <f t="shared" si="1"/>
        <v>114</v>
      </c>
    </row>
    <row r="11" ht="24" customHeight="1" spans="1:14">
      <c r="A11" s="14" t="s">
        <v>119</v>
      </c>
      <c r="B11" s="14" t="s">
        <v>120</v>
      </c>
      <c r="C11" s="14"/>
      <c r="D11" s="14"/>
      <c r="E11" s="14"/>
      <c r="F11" s="14"/>
      <c r="G11" s="14"/>
      <c r="H11" s="15">
        <f>SUM(H5:H10)</f>
        <v>1</v>
      </c>
      <c r="I11" s="16">
        <f>SUM(I5:I10)</f>
        <v>1000000</v>
      </c>
      <c r="J11" s="14"/>
      <c r="K11" s="14"/>
      <c r="L11" s="14"/>
      <c r="M11" s="16">
        <f>SUM(M5:M10)</f>
        <v>48323</v>
      </c>
      <c r="N11" s="16">
        <f>SUM(N5:N10)</f>
        <v>1529</v>
      </c>
    </row>
    <row r="13" ht="15.75" spans="1:14">
      <c r="A13" s="18" t="s">
        <v>121</v>
      </c>
    </row>
    <row r="14" spans="1:14">
      <c r="A14" s="19" t="s">
        <v>122</v>
      </c>
      <c r="B14" s="19"/>
      <c r="C14" s="40">
        <f>ROUND(N11*Допущения!C13,0)</f>
        <v>6498250</v>
      </c>
      <c r="D14" s="19" t="s">
        <v>19</v>
      </c>
    </row>
    <row r="15" spans="1:14">
      <c r="A15" s="19" t="s">
        <v>123</v>
      </c>
      <c r="B15" s="19"/>
      <c r="C15" s="41">
        <f>IF(C14=0,0,I11/C14)</f>
        <v>0.153887585119071</v>
      </c>
      <c r="D15" s="19" t="s">
        <v>23</v>
      </c>
    </row>
    <row r="16" spans="1:14">
      <c r="A16" s="19" t="s">
        <v>124</v>
      </c>
      <c r="B16" s="19"/>
      <c r="C16" s="42">
        <f>IF(N11=0,0,I11/N11)</f>
        <v>654.02223675605</v>
      </c>
      <c r="D16" s="19" t="s">
        <v>19</v>
      </c>
    </row>
    <row r="17" spans="1:4">
      <c r="A17" s="43" t="s">
        <v>125</v>
      </c>
      <c r="B17" s="43"/>
      <c r="C17" s="43" t="str">
        <f>IF(ABS(H11-1)&lt;0.0001,"OK: 100%","Ошибка: сумма долей ≠ 100%")</f>
        <v>OK: 100%</v>
      </c>
      <c r="D17" s="43"/>
    </row>
    <row r="19" ht="15.75" spans="1:4">
      <c r="A19" s="18" t="s">
        <v>126</v>
      </c>
    </row>
    <row r="20" ht="28" customHeight="1" spans="1:4">
      <c r="A20" s="22" t="s">
        <v>127</v>
      </c>
    </row>
    <row r="21" ht="28" customHeight="1"/>
    <row r="22" ht="20" customHeight="1"/>
    <row r="24" ht="15.75" spans="1:4">
      <c r="A24" s="21" t="s">
        <v>83</v>
      </c>
    </row>
    <row r="25" ht="80" customHeight="1" spans="1:4">
      <c r="A25" s="22" t="s">
        <v>128</v>
      </c>
    </row>
    <row r="26" ht="24" customHeight="1"/>
  </sheetData>
  <autoFilter xmlns:etc="http://www.wps.cn/officeDocument/2017/etCustomData" ref="A4:N11" etc:filterBottomFollowUsedRange="0">
    <extLst/>
  </autoFilter>
  <mergeCells count="9">
    <mergeCell ref="A1:N1"/>
    <mergeCell ref="A2:N2"/>
    <mergeCell ref="A14:B14"/>
    <mergeCell ref="A15:B15"/>
    <mergeCell ref="A16:B16"/>
    <mergeCell ref="A17:B17"/>
    <mergeCell ref="A24:N24"/>
    <mergeCell ref="A25:N26"/>
    <mergeCell ref="A20:N22"/>
  </mergeCells>
  <dataValidations count="1">
    <dataValidation type="list" errorTitle="Тип площадки" error="Выберите место показа из списка" sqref="D5:D10">
      <formula1>"Поиск,РСЯ,Поиск и РСЯ"</formula1>
    </dataValidation>
  </dataValidations>
  <pageMargins left="0.75" right="0.75" top="1" bottom="1" header="0.5" footer="0.5"/>
  <pageSetup paperSize="1" orientation="landscape"/>
  <headerFooter>
    <oddHeader>&amp;C&amp;B ECCO Kids · медиаплан Директ</oddHeader>
    <oddFooter>&amp;L&amp;D&amp;Rстр. &amp;P /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ABC9C"/>
    <pageSetUpPr fitToPage="1"/>
  </sheetPr>
  <dimension ref="A1:N81"/>
  <sheetViews>
    <sheetView showGridLines="0" tabSelected="1" workbookViewId="0">
      <pane xSplit="3" ySplit="4" topLeftCell="D59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5"/>
  <cols>
    <col min="1" max="1" width="12" customWidth="1"/>
    <col min="2" max="2" width="34" customWidth="1"/>
    <col min="3" max="3" width="14" customWidth="1"/>
    <col min="4" max="4" width="28" customWidth="1"/>
    <col min="5" max="5" width="20" customWidth="1"/>
    <col min="6" max="6" width="14" customWidth="1"/>
    <col min="7" max="8" width="10" customWidth="1"/>
    <col min="9" max="9" width="12" customWidth="1"/>
    <col min="10" max="11" width="10" customWidth="1"/>
    <col min="12" max="12" width="11" customWidth="1"/>
    <col min="13" max="13" width="14" customWidth="1"/>
    <col min="14" max="14" width="10" customWidth="1"/>
  </cols>
  <sheetData>
    <row r="1" ht="21" spans="1:14">
      <c r="A1" s="1" t="s">
        <v>129</v>
      </c>
    </row>
    <row r="2" ht="40" customHeight="1" spans="1:14">
      <c r="A2" s="2" t="s">
        <v>130</v>
      </c>
    </row>
    <row r="4" ht="32" customHeight="1" spans="1:14">
      <c r="A4" s="3" t="s">
        <v>131</v>
      </c>
      <c r="B4" s="3" t="s">
        <v>88</v>
      </c>
      <c r="C4" s="3" t="s">
        <v>89</v>
      </c>
      <c r="D4" s="3" t="s">
        <v>90</v>
      </c>
      <c r="E4" s="3" t="s">
        <v>92</v>
      </c>
      <c r="F4" s="3" t="s">
        <v>132</v>
      </c>
      <c r="G4" s="3" t="s">
        <v>95</v>
      </c>
      <c r="H4" s="3" t="s">
        <v>96</v>
      </c>
      <c r="I4" s="3" t="s">
        <v>133</v>
      </c>
      <c r="J4" s="3" t="s">
        <v>134</v>
      </c>
      <c r="K4" s="3" t="s">
        <v>135</v>
      </c>
      <c r="L4" s="3" t="s">
        <v>136</v>
      </c>
      <c r="M4" s="3" t="s">
        <v>137</v>
      </c>
      <c r="N4" s="3" t="s">
        <v>138</v>
      </c>
    </row>
    <row r="5" spans="1:14">
      <c r="A5" s="31" t="s">
        <v>139</v>
      </c>
      <c r="B5" s="32" t="str">
        <f>Инструменты!B5</f>
        <v>ECCO Kids · бренд · Поиск</v>
      </c>
      <c r="C5" s="31" t="str">
        <f>Инструменты!D5</f>
        <v>Поиск</v>
      </c>
      <c r="D5" s="32" t="str">
        <f>Инструменты!E5</f>
        <v>ключи бренд / бренд+товар</v>
      </c>
      <c r="E5" s="31" t="str">
        <f>Инструменты!G5</f>
        <v>Максимум конверсий</v>
      </c>
      <c r="F5" s="33">
        <f>Инструменты!I5</f>
        <v>180000</v>
      </c>
      <c r="G5" s="34">
        <f>Инструменты!J5</f>
        <v>0.1</v>
      </c>
      <c r="H5" s="33">
        <f>Инструменты!K5</f>
        <v>28</v>
      </c>
      <c r="I5" s="33">
        <f t="shared" ref="I5:I68" si="0">IF(G5=0,0,ROUND(J5/G5,0))</f>
        <v>64290</v>
      </c>
      <c r="J5" s="33">
        <f t="shared" ref="J5:J68" si="1">IF(H5=0,0,ROUND(F5/H5,0))</f>
        <v>6429</v>
      </c>
      <c r="K5" s="34">
        <f>Инструменты!L5</f>
        <v>0.065</v>
      </c>
      <c r="L5" s="33">
        <f t="shared" ref="L5:L68" si="2">ROUND(J5*K5,0)</f>
        <v>418</v>
      </c>
      <c r="M5" s="33">
        <f>ROUND(L5*Допущения!$C$13,0)</f>
        <v>1776500</v>
      </c>
      <c r="N5" s="35">
        <f t="shared" ref="N5:N68" si="3">IF(M5=0,0,F5/M5)</f>
        <v>0.10132282578103</v>
      </c>
    </row>
    <row r="6" spans="1:14">
      <c r="A6" s="31" t="s">
        <v>139</v>
      </c>
      <c r="B6" s="32" t="str">
        <f>Инструменты!B6</f>
        <v>ECCO Kids · категория boys · Поиск</v>
      </c>
      <c r="C6" s="31" t="str">
        <f>Инструменты!D6</f>
        <v>Поиск</v>
      </c>
      <c r="D6" s="32" t="str">
        <f>Инструменты!E6</f>
        <v>ключи категория kids/boys/кроссовки</v>
      </c>
      <c r="E6" s="31" t="str">
        <f>Инструменты!G6</f>
        <v>Максимум конверсий</v>
      </c>
      <c r="F6" s="33">
        <f>Инструменты!I6</f>
        <v>320000</v>
      </c>
      <c r="G6" s="34">
        <f>Инструменты!J6</f>
        <v>0.045</v>
      </c>
      <c r="H6" s="33">
        <f>Инструменты!K6</f>
        <v>48</v>
      </c>
      <c r="I6" s="33">
        <f t="shared" si="0"/>
        <v>148156</v>
      </c>
      <c r="J6" s="33">
        <f t="shared" si="1"/>
        <v>6667</v>
      </c>
      <c r="K6" s="34">
        <f>Инструменты!L6</f>
        <v>0.038</v>
      </c>
      <c r="L6" s="33">
        <f t="shared" si="2"/>
        <v>253</v>
      </c>
      <c r="M6" s="33">
        <f>ROUND(L6*Допущения!$C$13,0)</f>
        <v>1075250</v>
      </c>
      <c r="N6" s="35">
        <f t="shared" si="3"/>
        <v>0.297605208091142</v>
      </c>
    </row>
    <row r="7" spans="1:14">
      <c r="A7" s="31" t="s">
        <v>139</v>
      </c>
      <c r="B7" s="32" t="str">
        <f>Инструменты!B7</f>
        <v>ECCO Kids · товарная галерея · Поиск</v>
      </c>
      <c r="C7" s="31" t="str">
        <f>Инструменты!D7</f>
        <v>Поиск</v>
      </c>
      <c r="D7" s="32" t="str">
        <f>Инструменты!E7</f>
        <v>фид + товарные объявления</v>
      </c>
      <c r="E7" s="31" t="str">
        <f>Инструменты!G7</f>
        <v>Максимум конверсий</v>
      </c>
      <c r="F7" s="33">
        <f>Инструменты!I7</f>
        <v>150000</v>
      </c>
      <c r="G7" s="34">
        <f>Инструменты!J7</f>
        <v>0.07</v>
      </c>
      <c r="H7" s="33">
        <f>Инструменты!K7</f>
        <v>44</v>
      </c>
      <c r="I7" s="33">
        <f t="shared" si="0"/>
        <v>48700</v>
      </c>
      <c r="J7" s="33">
        <f t="shared" si="1"/>
        <v>3409</v>
      </c>
      <c r="K7" s="34">
        <f>Инструменты!L7</f>
        <v>0.045</v>
      </c>
      <c r="L7" s="33">
        <f t="shared" si="2"/>
        <v>153</v>
      </c>
      <c r="M7" s="33">
        <f>ROUND(L7*Допущения!$C$13,0)</f>
        <v>650250</v>
      </c>
      <c r="N7" s="35">
        <f t="shared" si="3"/>
        <v>0.230680507497116</v>
      </c>
    </row>
    <row r="8" spans="1:14">
      <c r="A8" s="31" t="s">
        <v>139</v>
      </c>
      <c r="B8" s="32" t="str">
        <f>Инструменты!B8</f>
        <v>ECCO Kids · интересы и ретаргетинг · РСЯ</v>
      </c>
      <c r="C8" s="31" t="str">
        <f>Инструменты!D8</f>
        <v>РСЯ</v>
      </c>
      <c r="D8" s="32" t="str">
        <f>Инструменты!E8</f>
        <v>интересы (kids/fashion/родители) + ретаргетинг визитов/корзины</v>
      </c>
      <c r="E8" s="31" t="str">
        <f>Инструменты!G8</f>
        <v>Максимум конверсий</v>
      </c>
      <c r="F8" s="33">
        <f>Инструменты!I8</f>
        <v>200000</v>
      </c>
      <c r="G8" s="34">
        <f>Инструменты!J8</f>
        <v>0.008</v>
      </c>
      <c r="H8" s="33">
        <f>Инструменты!K8</f>
        <v>11</v>
      </c>
      <c r="I8" s="33">
        <f t="shared" si="0"/>
        <v>2272750</v>
      </c>
      <c r="J8" s="33">
        <f t="shared" si="1"/>
        <v>18182</v>
      </c>
      <c r="K8" s="34">
        <f>Инструменты!L8</f>
        <v>0.025</v>
      </c>
      <c r="L8" s="33">
        <f t="shared" si="2"/>
        <v>455</v>
      </c>
      <c r="M8" s="33">
        <f>ROUND(L8*Допущения!$C$13,0)</f>
        <v>1933750</v>
      </c>
      <c r="N8" s="35">
        <f t="shared" si="3"/>
        <v>0.103425985778927</v>
      </c>
    </row>
    <row r="9" spans="1:14">
      <c r="A9" s="31" t="s">
        <v>139</v>
      </c>
      <c r="B9" s="32" t="str">
        <f>Инструменты!B9</f>
        <v>ECCO Kids · автотаргетинг · РСЯ</v>
      </c>
      <c r="C9" s="31" t="str">
        <f>Инструменты!D9</f>
        <v>РСЯ</v>
      </c>
      <c r="D9" s="32" t="str">
        <f>Инструменты!E9</f>
        <v>автотаргетинг</v>
      </c>
      <c r="E9" s="31" t="str">
        <f>Инструменты!G9</f>
        <v>Максимум кликов</v>
      </c>
      <c r="F9" s="33">
        <f>Инструменты!I9</f>
        <v>100000</v>
      </c>
      <c r="G9" s="34">
        <f>Инструменты!J9</f>
        <v>0.008</v>
      </c>
      <c r="H9" s="33">
        <f>Инструменты!K9</f>
        <v>11</v>
      </c>
      <c r="I9" s="33">
        <f t="shared" si="0"/>
        <v>1136375</v>
      </c>
      <c r="J9" s="33">
        <f t="shared" si="1"/>
        <v>9091</v>
      </c>
      <c r="K9" s="34">
        <f>Инструменты!L9</f>
        <v>0.015</v>
      </c>
      <c r="L9" s="33">
        <f t="shared" si="2"/>
        <v>136</v>
      </c>
      <c r="M9" s="33">
        <f>ROUND(L9*Допущения!$C$13,0)</f>
        <v>578000</v>
      </c>
      <c r="N9" s="35">
        <f t="shared" si="3"/>
        <v>0.173010380622837</v>
      </c>
    </row>
    <row r="10" spans="1:14">
      <c r="A10" s="31" t="s">
        <v>139</v>
      </c>
      <c r="B10" s="32" t="str">
        <f>Инструменты!B10</f>
        <v>ECCO Kids · защита бренда · РСЯ</v>
      </c>
      <c r="C10" s="31" t="str">
        <f>Инструменты!D10</f>
        <v>РСЯ</v>
      </c>
      <c r="D10" s="32" t="str">
        <f>Инструменты!E10</f>
        <v>бренд в сетях</v>
      </c>
      <c r="E10" s="31" t="str">
        <f>Инструменты!G10</f>
        <v>Максимум конверсий</v>
      </c>
      <c r="F10" s="33">
        <f>Инструменты!I10</f>
        <v>50000</v>
      </c>
      <c r="G10" s="34">
        <f>Инструменты!J10</f>
        <v>0.008</v>
      </c>
      <c r="H10" s="33">
        <f>Инструменты!K10</f>
        <v>11</v>
      </c>
      <c r="I10" s="33">
        <f t="shared" si="0"/>
        <v>568125</v>
      </c>
      <c r="J10" s="33">
        <f t="shared" si="1"/>
        <v>4545</v>
      </c>
      <c r="K10" s="34">
        <f>Инструменты!L10</f>
        <v>0.025</v>
      </c>
      <c r="L10" s="33">
        <f t="shared" si="2"/>
        <v>114</v>
      </c>
      <c r="M10" s="33">
        <f>ROUND(L10*Допущения!$C$13,0)</f>
        <v>484500</v>
      </c>
      <c r="N10" s="35">
        <f t="shared" si="3"/>
        <v>0.103199174406605</v>
      </c>
    </row>
    <row r="11" spans="1:14">
      <c r="A11" s="10" t="s">
        <v>140</v>
      </c>
      <c r="B11" s="9" t="str">
        <f>Инструменты!B5</f>
        <v>ECCO Kids · бренд · Поиск</v>
      </c>
      <c r="C11" s="10" t="str">
        <f>Инструменты!D5</f>
        <v>Поиск</v>
      </c>
      <c r="D11" s="9" t="str">
        <f>Инструменты!E5</f>
        <v>ключи бренд / бренд+товар</v>
      </c>
      <c r="E11" s="10" t="str">
        <f>Инструменты!G5</f>
        <v>Максимум конверсий</v>
      </c>
      <c r="F11" s="12">
        <f>Инструменты!I5</f>
        <v>180000</v>
      </c>
      <c r="G11" s="36">
        <f>Инструменты!J5</f>
        <v>0.1</v>
      </c>
      <c r="H11" s="12">
        <f>Инструменты!K5</f>
        <v>28</v>
      </c>
      <c r="I11" s="12">
        <f t="shared" si="0"/>
        <v>64290</v>
      </c>
      <c r="J11" s="12">
        <f t="shared" si="1"/>
        <v>6429</v>
      </c>
      <c r="K11" s="36">
        <f>Инструменты!L5</f>
        <v>0.065</v>
      </c>
      <c r="L11" s="12">
        <f t="shared" si="2"/>
        <v>418</v>
      </c>
      <c r="M11" s="12">
        <f>ROUND(L11*Допущения!$C$13,0)</f>
        <v>1776500</v>
      </c>
      <c r="N11" s="11">
        <f t="shared" si="3"/>
        <v>0.10132282578103</v>
      </c>
    </row>
    <row r="12" spans="1:14">
      <c r="A12" s="10" t="s">
        <v>140</v>
      </c>
      <c r="B12" s="9" t="str">
        <f>Инструменты!B6</f>
        <v>ECCO Kids · категория boys · Поиск</v>
      </c>
      <c r="C12" s="10" t="str">
        <f>Инструменты!D6</f>
        <v>Поиск</v>
      </c>
      <c r="D12" s="9" t="str">
        <f>Инструменты!E6</f>
        <v>ключи категория kids/boys/кроссовки</v>
      </c>
      <c r="E12" s="10" t="str">
        <f>Инструменты!G6</f>
        <v>Максимум конверсий</v>
      </c>
      <c r="F12" s="12">
        <f>Инструменты!I6</f>
        <v>320000</v>
      </c>
      <c r="G12" s="36">
        <f>Инструменты!J6</f>
        <v>0.045</v>
      </c>
      <c r="H12" s="12">
        <f>Инструменты!K6</f>
        <v>48</v>
      </c>
      <c r="I12" s="12">
        <f t="shared" si="0"/>
        <v>148156</v>
      </c>
      <c r="J12" s="12">
        <f t="shared" si="1"/>
        <v>6667</v>
      </c>
      <c r="K12" s="36">
        <f>Инструменты!L6</f>
        <v>0.038</v>
      </c>
      <c r="L12" s="12">
        <f t="shared" si="2"/>
        <v>253</v>
      </c>
      <c r="M12" s="12">
        <f>ROUND(L12*Допущения!$C$13,0)</f>
        <v>1075250</v>
      </c>
      <c r="N12" s="11">
        <f t="shared" si="3"/>
        <v>0.297605208091142</v>
      </c>
    </row>
    <row r="13" spans="1:14">
      <c r="A13" s="10" t="s">
        <v>140</v>
      </c>
      <c r="B13" s="9" t="str">
        <f>Инструменты!B7</f>
        <v>ECCO Kids · товарная галерея · Поиск</v>
      </c>
      <c r="C13" s="10" t="str">
        <f>Инструменты!D7</f>
        <v>Поиск</v>
      </c>
      <c r="D13" s="9" t="str">
        <f>Инструменты!E7</f>
        <v>фид + товарные объявления</v>
      </c>
      <c r="E13" s="10" t="str">
        <f>Инструменты!G7</f>
        <v>Максимум конверсий</v>
      </c>
      <c r="F13" s="12">
        <f>Инструменты!I7</f>
        <v>150000</v>
      </c>
      <c r="G13" s="36">
        <f>Инструменты!J7</f>
        <v>0.07</v>
      </c>
      <c r="H13" s="12">
        <f>Инструменты!K7</f>
        <v>44</v>
      </c>
      <c r="I13" s="12">
        <f t="shared" si="0"/>
        <v>48700</v>
      </c>
      <c r="J13" s="12">
        <f t="shared" si="1"/>
        <v>3409</v>
      </c>
      <c r="K13" s="36">
        <f>Инструменты!L7</f>
        <v>0.045</v>
      </c>
      <c r="L13" s="12">
        <f t="shared" si="2"/>
        <v>153</v>
      </c>
      <c r="M13" s="12">
        <f>ROUND(L13*Допущения!$C$13,0)</f>
        <v>650250</v>
      </c>
      <c r="N13" s="11">
        <f t="shared" si="3"/>
        <v>0.230680507497116</v>
      </c>
    </row>
    <row r="14" spans="1:14">
      <c r="A14" s="10" t="s">
        <v>140</v>
      </c>
      <c r="B14" s="9" t="str">
        <f>Инструменты!B8</f>
        <v>ECCO Kids · интересы и ретаргетинг · РСЯ</v>
      </c>
      <c r="C14" s="10" t="str">
        <f>Инструменты!D8</f>
        <v>РСЯ</v>
      </c>
      <c r="D14" s="9" t="str">
        <f>Инструменты!E8</f>
        <v>интересы (kids/fashion/родители) + ретаргетинг визитов/корзины</v>
      </c>
      <c r="E14" s="10" t="str">
        <f>Инструменты!G8</f>
        <v>Максимум конверсий</v>
      </c>
      <c r="F14" s="12">
        <f>Инструменты!I8</f>
        <v>200000</v>
      </c>
      <c r="G14" s="36">
        <f>Инструменты!J8</f>
        <v>0.008</v>
      </c>
      <c r="H14" s="12">
        <f>Инструменты!K8</f>
        <v>11</v>
      </c>
      <c r="I14" s="12">
        <f t="shared" si="0"/>
        <v>2272750</v>
      </c>
      <c r="J14" s="12">
        <f t="shared" si="1"/>
        <v>18182</v>
      </c>
      <c r="K14" s="36">
        <f>Инструменты!L8</f>
        <v>0.025</v>
      </c>
      <c r="L14" s="12">
        <f t="shared" si="2"/>
        <v>455</v>
      </c>
      <c r="M14" s="12">
        <f>ROUND(L14*Допущения!$C$13,0)</f>
        <v>1933750</v>
      </c>
      <c r="N14" s="11">
        <f t="shared" si="3"/>
        <v>0.103425985778927</v>
      </c>
    </row>
    <row r="15" spans="1:14">
      <c r="A15" s="10" t="s">
        <v>140</v>
      </c>
      <c r="B15" s="9" t="str">
        <f>Инструменты!B9</f>
        <v>ECCO Kids · автотаргетинг · РСЯ</v>
      </c>
      <c r="C15" s="10" t="str">
        <f>Инструменты!D9</f>
        <v>РСЯ</v>
      </c>
      <c r="D15" s="9" t="str">
        <f>Инструменты!E9</f>
        <v>автотаргетинг</v>
      </c>
      <c r="E15" s="10" t="str">
        <f>Инструменты!G9</f>
        <v>Максимум кликов</v>
      </c>
      <c r="F15" s="12">
        <f>Инструменты!I9</f>
        <v>100000</v>
      </c>
      <c r="G15" s="36">
        <f>Инструменты!J9</f>
        <v>0.008</v>
      </c>
      <c r="H15" s="12">
        <f>Инструменты!K9</f>
        <v>11</v>
      </c>
      <c r="I15" s="12">
        <f t="shared" si="0"/>
        <v>1136375</v>
      </c>
      <c r="J15" s="12">
        <f t="shared" si="1"/>
        <v>9091</v>
      </c>
      <c r="K15" s="36">
        <f>Инструменты!L9</f>
        <v>0.015</v>
      </c>
      <c r="L15" s="12">
        <f t="shared" si="2"/>
        <v>136</v>
      </c>
      <c r="M15" s="12">
        <f>ROUND(L15*Допущения!$C$13,0)</f>
        <v>578000</v>
      </c>
      <c r="N15" s="11">
        <f t="shared" si="3"/>
        <v>0.173010380622837</v>
      </c>
    </row>
    <row r="16" spans="1:14">
      <c r="A16" s="10" t="s">
        <v>140</v>
      </c>
      <c r="B16" s="9" t="str">
        <f>Инструменты!B10</f>
        <v>ECCO Kids · защита бренда · РСЯ</v>
      </c>
      <c r="C16" s="10" t="str">
        <f>Инструменты!D10</f>
        <v>РСЯ</v>
      </c>
      <c r="D16" s="9" t="str">
        <f>Инструменты!E10</f>
        <v>бренд в сетях</v>
      </c>
      <c r="E16" s="10" t="str">
        <f>Инструменты!G10</f>
        <v>Максимум конверсий</v>
      </c>
      <c r="F16" s="12">
        <f>Инструменты!I10</f>
        <v>50000</v>
      </c>
      <c r="G16" s="36">
        <f>Инструменты!J10</f>
        <v>0.008</v>
      </c>
      <c r="H16" s="12">
        <f>Инструменты!K10</f>
        <v>11</v>
      </c>
      <c r="I16" s="12">
        <f t="shared" si="0"/>
        <v>568125</v>
      </c>
      <c r="J16" s="12">
        <f t="shared" si="1"/>
        <v>4545</v>
      </c>
      <c r="K16" s="36">
        <f>Инструменты!L10</f>
        <v>0.025</v>
      </c>
      <c r="L16" s="12">
        <f t="shared" si="2"/>
        <v>114</v>
      </c>
      <c r="M16" s="12">
        <f>ROUND(L16*Допущения!$C$13,0)</f>
        <v>484500</v>
      </c>
      <c r="N16" s="11">
        <f t="shared" si="3"/>
        <v>0.103199174406605</v>
      </c>
    </row>
    <row r="17" spans="1:14">
      <c r="A17" s="31" t="s">
        <v>141</v>
      </c>
      <c r="B17" s="32" t="str">
        <f>Инструменты!B5</f>
        <v>ECCO Kids · бренд · Поиск</v>
      </c>
      <c r="C17" s="31" t="str">
        <f>Инструменты!D5</f>
        <v>Поиск</v>
      </c>
      <c r="D17" s="32" t="str">
        <f>Инструменты!E5</f>
        <v>ключи бренд / бренд+товар</v>
      </c>
      <c r="E17" s="31" t="str">
        <f>Инструменты!G5</f>
        <v>Максимум конверсий</v>
      </c>
      <c r="F17" s="33">
        <f>Инструменты!I5</f>
        <v>180000</v>
      </c>
      <c r="G17" s="34">
        <f>Инструменты!J5</f>
        <v>0.1</v>
      </c>
      <c r="H17" s="33">
        <f>Инструменты!K5</f>
        <v>28</v>
      </c>
      <c r="I17" s="33">
        <f t="shared" si="0"/>
        <v>64290</v>
      </c>
      <c r="J17" s="33">
        <f t="shared" si="1"/>
        <v>6429</v>
      </c>
      <c r="K17" s="34">
        <f>Инструменты!L5</f>
        <v>0.065</v>
      </c>
      <c r="L17" s="33">
        <f t="shared" si="2"/>
        <v>418</v>
      </c>
      <c r="M17" s="33">
        <f>ROUND(L17*Допущения!$C$13,0)</f>
        <v>1776500</v>
      </c>
      <c r="N17" s="35">
        <f t="shared" si="3"/>
        <v>0.10132282578103</v>
      </c>
    </row>
    <row r="18" spans="1:14">
      <c r="A18" s="31" t="s">
        <v>141</v>
      </c>
      <c r="B18" s="32" t="str">
        <f>Инструменты!B6</f>
        <v>ECCO Kids · категория boys · Поиск</v>
      </c>
      <c r="C18" s="31" t="str">
        <f>Инструменты!D6</f>
        <v>Поиск</v>
      </c>
      <c r="D18" s="32" t="str">
        <f>Инструменты!E6</f>
        <v>ключи категория kids/boys/кроссовки</v>
      </c>
      <c r="E18" s="31" t="str">
        <f>Инструменты!G6</f>
        <v>Максимум конверсий</v>
      </c>
      <c r="F18" s="33">
        <f>Инструменты!I6</f>
        <v>320000</v>
      </c>
      <c r="G18" s="34">
        <f>Инструменты!J6</f>
        <v>0.045</v>
      </c>
      <c r="H18" s="33">
        <f>Инструменты!K6</f>
        <v>48</v>
      </c>
      <c r="I18" s="33">
        <f t="shared" si="0"/>
        <v>148156</v>
      </c>
      <c r="J18" s="33">
        <f t="shared" si="1"/>
        <v>6667</v>
      </c>
      <c r="K18" s="34">
        <f>Инструменты!L6</f>
        <v>0.038</v>
      </c>
      <c r="L18" s="33">
        <f t="shared" si="2"/>
        <v>253</v>
      </c>
      <c r="M18" s="33">
        <f>ROUND(L18*Допущения!$C$13,0)</f>
        <v>1075250</v>
      </c>
      <c r="N18" s="35">
        <f t="shared" si="3"/>
        <v>0.297605208091142</v>
      </c>
    </row>
    <row r="19" spans="1:14">
      <c r="A19" s="31" t="s">
        <v>141</v>
      </c>
      <c r="B19" s="32" t="str">
        <f>Инструменты!B7</f>
        <v>ECCO Kids · товарная галерея · Поиск</v>
      </c>
      <c r="C19" s="31" t="str">
        <f>Инструменты!D7</f>
        <v>Поиск</v>
      </c>
      <c r="D19" s="32" t="str">
        <f>Инструменты!E7</f>
        <v>фид + товарные объявления</v>
      </c>
      <c r="E19" s="31" t="str">
        <f>Инструменты!G7</f>
        <v>Максимум конверсий</v>
      </c>
      <c r="F19" s="33">
        <f>Инструменты!I7</f>
        <v>150000</v>
      </c>
      <c r="G19" s="34">
        <f>Инструменты!J7</f>
        <v>0.07</v>
      </c>
      <c r="H19" s="33">
        <f>Инструменты!K7</f>
        <v>44</v>
      </c>
      <c r="I19" s="33">
        <f t="shared" si="0"/>
        <v>48700</v>
      </c>
      <c r="J19" s="33">
        <f t="shared" si="1"/>
        <v>3409</v>
      </c>
      <c r="K19" s="34">
        <f>Инструменты!L7</f>
        <v>0.045</v>
      </c>
      <c r="L19" s="33">
        <f t="shared" si="2"/>
        <v>153</v>
      </c>
      <c r="M19" s="33">
        <f>ROUND(L19*Допущения!$C$13,0)</f>
        <v>650250</v>
      </c>
      <c r="N19" s="35">
        <f t="shared" si="3"/>
        <v>0.230680507497116</v>
      </c>
    </row>
    <row r="20" spans="1:14">
      <c r="A20" s="31" t="s">
        <v>141</v>
      </c>
      <c r="B20" s="32" t="str">
        <f>Инструменты!B8</f>
        <v>ECCO Kids · интересы и ретаргетинг · РСЯ</v>
      </c>
      <c r="C20" s="31" t="str">
        <f>Инструменты!D8</f>
        <v>РСЯ</v>
      </c>
      <c r="D20" s="32" t="str">
        <f>Инструменты!E8</f>
        <v>интересы (kids/fashion/родители) + ретаргетинг визитов/корзины</v>
      </c>
      <c r="E20" s="31" t="str">
        <f>Инструменты!G8</f>
        <v>Максимум конверсий</v>
      </c>
      <c r="F20" s="33">
        <f>Инструменты!I8</f>
        <v>200000</v>
      </c>
      <c r="G20" s="34">
        <f>Инструменты!J8</f>
        <v>0.008</v>
      </c>
      <c r="H20" s="33">
        <f>Инструменты!K8</f>
        <v>11</v>
      </c>
      <c r="I20" s="33">
        <f t="shared" si="0"/>
        <v>2272750</v>
      </c>
      <c r="J20" s="33">
        <f t="shared" si="1"/>
        <v>18182</v>
      </c>
      <c r="K20" s="34">
        <f>Инструменты!L8</f>
        <v>0.025</v>
      </c>
      <c r="L20" s="33">
        <f t="shared" si="2"/>
        <v>455</v>
      </c>
      <c r="M20" s="33">
        <f>ROUND(L20*Допущения!$C$13,0)</f>
        <v>1933750</v>
      </c>
      <c r="N20" s="35">
        <f t="shared" si="3"/>
        <v>0.103425985778927</v>
      </c>
    </row>
    <row r="21" spans="1:14">
      <c r="A21" s="31" t="s">
        <v>141</v>
      </c>
      <c r="B21" s="32" t="str">
        <f>Инструменты!B9</f>
        <v>ECCO Kids · автотаргетинг · РСЯ</v>
      </c>
      <c r="C21" s="31" t="str">
        <f>Инструменты!D9</f>
        <v>РСЯ</v>
      </c>
      <c r="D21" s="32" t="str">
        <f>Инструменты!E9</f>
        <v>автотаргетинг</v>
      </c>
      <c r="E21" s="31" t="str">
        <f>Инструменты!G9</f>
        <v>Максимум кликов</v>
      </c>
      <c r="F21" s="33">
        <f>Инструменты!I9</f>
        <v>100000</v>
      </c>
      <c r="G21" s="34">
        <f>Инструменты!J9</f>
        <v>0.008</v>
      </c>
      <c r="H21" s="33">
        <f>Инструменты!K9</f>
        <v>11</v>
      </c>
      <c r="I21" s="33">
        <f t="shared" si="0"/>
        <v>1136375</v>
      </c>
      <c r="J21" s="33">
        <f t="shared" si="1"/>
        <v>9091</v>
      </c>
      <c r="K21" s="34">
        <f>Инструменты!L9</f>
        <v>0.015</v>
      </c>
      <c r="L21" s="33">
        <f t="shared" si="2"/>
        <v>136</v>
      </c>
      <c r="M21" s="33">
        <f>ROUND(L21*Допущения!$C$13,0)</f>
        <v>578000</v>
      </c>
      <c r="N21" s="35">
        <f t="shared" si="3"/>
        <v>0.173010380622837</v>
      </c>
    </row>
    <row r="22" spans="1:14">
      <c r="A22" s="31" t="s">
        <v>141</v>
      </c>
      <c r="B22" s="32" t="str">
        <f>Инструменты!B10</f>
        <v>ECCO Kids · защита бренда · РСЯ</v>
      </c>
      <c r="C22" s="31" t="str">
        <f>Инструменты!D10</f>
        <v>РСЯ</v>
      </c>
      <c r="D22" s="32" t="str">
        <f>Инструменты!E10</f>
        <v>бренд в сетях</v>
      </c>
      <c r="E22" s="31" t="str">
        <f>Инструменты!G10</f>
        <v>Максимум конверсий</v>
      </c>
      <c r="F22" s="33">
        <f>Инструменты!I10</f>
        <v>50000</v>
      </c>
      <c r="G22" s="34">
        <f>Инструменты!J10</f>
        <v>0.008</v>
      </c>
      <c r="H22" s="33">
        <f>Инструменты!K10</f>
        <v>11</v>
      </c>
      <c r="I22" s="33">
        <f t="shared" si="0"/>
        <v>568125</v>
      </c>
      <c r="J22" s="33">
        <f t="shared" si="1"/>
        <v>4545</v>
      </c>
      <c r="K22" s="34">
        <f>Инструменты!L10</f>
        <v>0.025</v>
      </c>
      <c r="L22" s="33">
        <f t="shared" si="2"/>
        <v>114</v>
      </c>
      <c r="M22" s="33">
        <f>ROUND(L22*Допущения!$C$13,0)</f>
        <v>484500</v>
      </c>
      <c r="N22" s="35">
        <f t="shared" si="3"/>
        <v>0.103199174406605</v>
      </c>
    </row>
    <row r="23" spans="1:14">
      <c r="A23" s="10" t="s">
        <v>142</v>
      </c>
      <c r="B23" s="9" t="str">
        <f>Инструменты!B5</f>
        <v>ECCO Kids · бренд · Поиск</v>
      </c>
      <c r="C23" s="10" t="str">
        <f>Инструменты!D5</f>
        <v>Поиск</v>
      </c>
      <c r="D23" s="9" t="str">
        <f>Инструменты!E5</f>
        <v>ключи бренд / бренд+товар</v>
      </c>
      <c r="E23" s="10" t="str">
        <f>Инструменты!G5</f>
        <v>Максимум конверсий</v>
      </c>
      <c r="F23" s="12">
        <f>Инструменты!I5</f>
        <v>180000</v>
      </c>
      <c r="G23" s="36">
        <f>Инструменты!J5</f>
        <v>0.1</v>
      </c>
      <c r="H23" s="12">
        <f>Инструменты!K5</f>
        <v>28</v>
      </c>
      <c r="I23" s="12">
        <f t="shared" si="0"/>
        <v>64290</v>
      </c>
      <c r="J23" s="12">
        <f t="shared" si="1"/>
        <v>6429</v>
      </c>
      <c r="K23" s="36">
        <f>Инструменты!L5</f>
        <v>0.065</v>
      </c>
      <c r="L23" s="12">
        <f t="shared" si="2"/>
        <v>418</v>
      </c>
      <c r="M23" s="12">
        <f>ROUND(L23*Допущения!$C$13,0)</f>
        <v>1776500</v>
      </c>
      <c r="N23" s="11">
        <f t="shared" si="3"/>
        <v>0.10132282578103</v>
      </c>
    </row>
    <row r="24" spans="1:14">
      <c r="A24" s="10" t="s">
        <v>142</v>
      </c>
      <c r="B24" s="9" t="str">
        <f>Инструменты!B6</f>
        <v>ECCO Kids · категория boys · Поиск</v>
      </c>
      <c r="C24" s="10" t="str">
        <f>Инструменты!D6</f>
        <v>Поиск</v>
      </c>
      <c r="D24" s="9" t="str">
        <f>Инструменты!E6</f>
        <v>ключи категория kids/boys/кроссовки</v>
      </c>
      <c r="E24" s="10" t="str">
        <f>Инструменты!G6</f>
        <v>Максимум конверсий</v>
      </c>
      <c r="F24" s="12">
        <f>Инструменты!I6</f>
        <v>320000</v>
      </c>
      <c r="G24" s="36">
        <f>Инструменты!J6</f>
        <v>0.045</v>
      </c>
      <c r="H24" s="12">
        <f>Инструменты!K6</f>
        <v>48</v>
      </c>
      <c r="I24" s="12">
        <f t="shared" si="0"/>
        <v>148156</v>
      </c>
      <c r="J24" s="12">
        <f t="shared" si="1"/>
        <v>6667</v>
      </c>
      <c r="K24" s="36">
        <f>Инструменты!L6</f>
        <v>0.038</v>
      </c>
      <c r="L24" s="12">
        <f t="shared" si="2"/>
        <v>253</v>
      </c>
      <c r="M24" s="12">
        <f>ROUND(L24*Допущения!$C$13,0)</f>
        <v>1075250</v>
      </c>
      <c r="N24" s="11">
        <f t="shared" si="3"/>
        <v>0.297605208091142</v>
      </c>
    </row>
    <row r="25" spans="1:14">
      <c r="A25" s="10" t="s">
        <v>142</v>
      </c>
      <c r="B25" s="9" t="str">
        <f>Инструменты!B7</f>
        <v>ECCO Kids · товарная галерея · Поиск</v>
      </c>
      <c r="C25" s="10" t="str">
        <f>Инструменты!D7</f>
        <v>Поиск</v>
      </c>
      <c r="D25" s="9" t="str">
        <f>Инструменты!E7</f>
        <v>фид + товарные объявления</v>
      </c>
      <c r="E25" s="10" t="str">
        <f>Инструменты!G7</f>
        <v>Максимум конверсий</v>
      </c>
      <c r="F25" s="12">
        <f>Инструменты!I7</f>
        <v>150000</v>
      </c>
      <c r="G25" s="36">
        <f>Инструменты!J7</f>
        <v>0.07</v>
      </c>
      <c r="H25" s="12">
        <f>Инструменты!K7</f>
        <v>44</v>
      </c>
      <c r="I25" s="12">
        <f t="shared" si="0"/>
        <v>48700</v>
      </c>
      <c r="J25" s="12">
        <f t="shared" si="1"/>
        <v>3409</v>
      </c>
      <c r="K25" s="36">
        <f>Инструменты!L7</f>
        <v>0.045</v>
      </c>
      <c r="L25" s="12">
        <f t="shared" si="2"/>
        <v>153</v>
      </c>
      <c r="M25" s="12">
        <f>ROUND(L25*Допущения!$C$13,0)</f>
        <v>650250</v>
      </c>
      <c r="N25" s="11">
        <f t="shared" si="3"/>
        <v>0.230680507497116</v>
      </c>
    </row>
    <row r="26" spans="1:14">
      <c r="A26" s="10" t="s">
        <v>142</v>
      </c>
      <c r="B26" s="9" t="str">
        <f>Инструменты!B8</f>
        <v>ECCO Kids · интересы и ретаргетинг · РСЯ</v>
      </c>
      <c r="C26" s="10" t="str">
        <f>Инструменты!D8</f>
        <v>РСЯ</v>
      </c>
      <c r="D26" s="9" t="str">
        <f>Инструменты!E8</f>
        <v>интересы (kids/fashion/родители) + ретаргетинг визитов/корзины</v>
      </c>
      <c r="E26" s="10" t="str">
        <f>Инструменты!G8</f>
        <v>Максимум конверсий</v>
      </c>
      <c r="F26" s="12">
        <f>Инструменты!I8</f>
        <v>200000</v>
      </c>
      <c r="G26" s="36">
        <f>Инструменты!J8</f>
        <v>0.008</v>
      </c>
      <c r="H26" s="12">
        <f>Инструменты!K8</f>
        <v>11</v>
      </c>
      <c r="I26" s="12">
        <f t="shared" si="0"/>
        <v>2272750</v>
      </c>
      <c r="J26" s="12">
        <f t="shared" si="1"/>
        <v>18182</v>
      </c>
      <c r="K26" s="36">
        <f>Инструменты!L8</f>
        <v>0.025</v>
      </c>
      <c r="L26" s="12">
        <f t="shared" si="2"/>
        <v>455</v>
      </c>
      <c r="M26" s="12">
        <f>ROUND(L26*Допущения!$C$13,0)</f>
        <v>1933750</v>
      </c>
      <c r="N26" s="11">
        <f t="shared" si="3"/>
        <v>0.103425985778927</v>
      </c>
    </row>
    <row r="27" spans="1:14">
      <c r="A27" s="10" t="s">
        <v>142</v>
      </c>
      <c r="B27" s="9" t="str">
        <f>Инструменты!B9</f>
        <v>ECCO Kids · автотаргетинг · РСЯ</v>
      </c>
      <c r="C27" s="10" t="str">
        <f>Инструменты!D9</f>
        <v>РСЯ</v>
      </c>
      <c r="D27" s="9" t="str">
        <f>Инструменты!E9</f>
        <v>автотаргетинг</v>
      </c>
      <c r="E27" s="10" t="str">
        <f>Инструменты!G9</f>
        <v>Максимум кликов</v>
      </c>
      <c r="F27" s="12">
        <f>Инструменты!I9</f>
        <v>100000</v>
      </c>
      <c r="G27" s="36">
        <f>Инструменты!J9</f>
        <v>0.008</v>
      </c>
      <c r="H27" s="12">
        <f>Инструменты!K9</f>
        <v>11</v>
      </c>
      <c r="I27" s="12">
        <f t="shared" si="0"/>
        <v>1136375</v>
      </c>
      <c r="J27" s="12">
        <f t="shared" si="1"/>
        <v>9091</v>
      </c>
      <c r="K27" s="36">
        <f>Инструменты!L9</f>
        <v>0.015</v>
      </c>
      <c r="L27" s="12">
        <f t="shared" si="2"/>
        <v>136</v>
      </c>
      <c r="M27" s="12">
        <f>ROUND(L27*Допущения!$C$13,0)</f>
        <v>578000</v>
      </c>
      <c r="N27" s="11">
        <f t="shared" si="3"/>
        <v>0.173010380622837</v>
      </c>
    </row>
    <row r="28" spans="1:14">
      <c r="A28" s="10" t="s">
        <v>142</v>
      </c>
      <c r="B28" s="9" t="str">
        <f>Инструменты!B10</f>
        <v>ECCO Kids · защита бренда · РСЯ</v>
      </c>
      <c r="C28" s="10" t="str">
        <f>Инструменты!D10</f>
        <v>РСЯ</v>
      </c>
      <c r="D28" s="9" t="str">
        <f>Инструменты!E10</f>
        <v>бренд в сетях</v>
      </c>
      <c r="E28" s="10" t="str">
        <f>Инструменты!G10</f>
        <v>Максимум конверсий</v>
      </c>
      <c r="F28" s="12">
        <f>Инструменты!I10</f>
        <v>50000</v>
      </c>
      <c r="G28" s="36">
        <f>Инструменты!J10</f>
        <v>0.008</v>
      </c>
      <c r="H28" s="12">
        <f>Инструменты!K10</f>
        <v>11</v>
      </c>
      <c r="I28" s="12">
        <f t="shared" si="0"/>
        <v>568125</v>
      </c>
      <c r="J28" s="12">
        <f t="shared" si="1"/>
        <v>4545</v>
      </c>
      <c r="K28" s="36">
        <f>Инструменты!L10</f>
        <v>0.025</v>
      </c>
      <c r="L28" s="12">
        <f t="shared" si="2"/>
        <v>114</v>
      </c>
      <c r="M28" s="12">
        <f>ROUND(L28*Допущения!$C$13,0)</f>
        <v>484500</v>
      </c>
      <c r="N28" s="11">
        <f t="shared" si="3"/>
        <v>0.103199174406605</v>
      </c>
    </row>
    <row r="29" spans="1:14">
      <c r="A29" s="31" t="s">
        <v>143</v>
      </c>
      <c r="B29" s="32" t="str">
        <f>Инструменты!B5</f>
        <v>ECCO Kids · бренд · Поиск</v>
      </c>
      <c r="C29" s="31" t="str">
        <f>Инструменты!D5</f>
        <v>Поиск</v>
      </c>
      <c r="D29" s="32" t="str">
        <f>Инструменты!E5</f>
        <v>ключи бренд / бренд+товар</v>
      </c>
      <c r="E29" s="31" t="str">
        <f>Инструменты!G5</f>
        <v>Максимум конверсий</v>
      </c>
      <c r="F29" s="33">
        <f>Инструменты!I5</f>
        <v>180000</v>
      </c>
      <c r="G29" s="34">
        <f>Инструменты!J5</f>
        <v>0.1</v>
      </c>
      <c r="H29" s="33">
        <f>Инструменты!K5</f>
        <v>28</v>
      </c>
      <c r="I29" s="33">
        <f t="shared" si="0"/>
        <v>64290</v>
      </c>
      <c r="J29" s="33">
        <f t="shared" si="1"/>
        <v>6429</v>
      </c>
      <c r="K29" s="34">
        <f>Инструменты!L5</f>
        <v>0.065</v>
      </c>
      <c r="L29" s="33">
        <f t="shared" si="2"/>
        <v>418</v>
      </c>
      <c r="M29" s="33">
        <f>ROUND(L29*Допущения!$C$13,0)</f>
        <v>1776500</v>
      </c>
      <c r="N29" s="35">
        <f t="shared" si="3"/>
        <v>0.10132282578103</v>
      </c>
    </row>
    <row r="30" spans="1:14">
      <c r="A30" s="31" t="s">
        <v>143</v>
      </c>
      <c r="B30" s="32" t="str">
        <f>Инструменты!B6</f>
        <v>ECCO Kids · категория boys · Поиск</v>
      </c>
      <c r="C30" s="31" t="str">
        <f>Инструменты!D6</f>
        <v>Поиск</v>
      </c>
      <c r="D30" s="32" t="str">
        <f>Инструменты!E6</f>
        <v>ключи категория kids/boys/кроссовки</v>
      </c>
      <c r="E30" s="31" t="str">
        <f>Инструменты!G6</f>
        <v>Максимум конверсий</v>
      </c>
      <c r="F30" s="33">
        <f>Инструменты!I6</f>
        <v>320000</v>
      </c>
      <c r="G30" s="34">
        <f>Инструменты!J6</f>
        <v>0.045</v>
      </c>
      <c r="H30" s="33">
        <f>Инструменты!K6</f>
        <v>48</v>
      </c>
      <c r="I30" s="33">
        <f t="shared" si="0"/>
        <v>148156</v>
      </c>
      <c r="J30" s="33">
        <f t="shared" si="1"/>
        <v>6667</v>
      </c>
      <c r="K30" s="34">
        <f>Инструменты!L6</f>
        <v>0.038</v>
      </c>
      <c r="L30" s="33">
        <f t="shared" si="2"/>
        <v>253</v>
      </c>
      <c r="M30" s="33">
        <f>ROUND(L30*Допущения!$C$13,0)</f>
        <v>1075250</v>
      </c>
      <c r="N30" s="35">
        <f t="shared" si="3"/>
        <v>0.297605208091142</v>
      </c>
    </row>
    <row r="31" spans="1:14">
      <c r="A31" s="31" t="s">
        <v>143</v>
      </c>
      <c r="B31" s="32" t="str">
        <f>Инструменты!B7</f>
        <v>ECCO Kids · товарная галерея · Поиск</v>
      </c>
      <c r="C31" s="31" t="str">
        <f>Инструменты!D7</f>
        <v>Поиск</v>
      </c>
      <c r="D31" s="32" t="str">
        <f>Инструменты!E7</f>
        <v>фид + товарные объявления</v>
      </c>
      <c r="E31" s="31" t="str">
        <f>Инструменты!G7</f>
        <v>Максимум конверсий</v>
      </c>
      <c r="F31" s="33">
        <f>Инструменты!I7</f>
        <v>150000</v>
      </c>
      <c r="G31" s="34">
        <f>Инструменты!J7</f>
        <v>0.07</v>
      </c>
      <c r="H31" s="33">
        <f>Инструменты!K7</f>
        <v>44</v>
      </c>
      <c r="I31" s="33">
        <f t="shared" si="0"/>
        <v>48700</v>
      </c>
      <c r="J31" s="33">
        <f t="shared" si="1"/>
        <v>3409</v>
      </c>
      <c r="K31" s="34">
        <f>Инструменты!L7</f>
        <v>0.045</v>
      </c>
      <c r="L31" s="33">
        <f t="shared" si="2"/>
        <v>153</v>
      </c>
      <c r="M31" s="33">
        <f>ROUND(L31*Допущения!$C$13,0)</f>
        <v>650250</v>
      </c>
      <c r="N31" s="35">
        <f t="shared" si="3"/>
        <v>0.230680507497116</v>
      </c>
    </row>
    <row r="32" spans="1:14">
      <c r="A32" s="31" t="s">
        <v>143</v>
      </c>
      <c r="B32" s="32" t="str">
        <f>Инструменты!B8</f>
        <v>ECCO Kids · интересы и ретаргетинг · РСЯ</v>
      </c>
      <c r="C32" s="31" t="str">
        <f>Инструменты!D8</f>
        <v>РСЯ</v>
      </c>
      <c r="D32" s="32" t="str">
        <f>Инструменты!E8</f>
        <v>интересы (kids/fashion/родители) + ретаргетинг визитов/корзины</v>
      </c>
      <c r="E32" s="31" t="str">
        <f>Инструменты!G8</f>
        <v>Максимум конверсий</v>
      </c>
      <c r="F32" s="33">
        <f>Инструменты!I8</f>
        <v>200000</v>
      </c>
      <c r="G32" s="34">
        <f>Инструменты!J8</f>
        <v>0.008</v>
      </c>
      <c r="H32" s="33">
        <f>Инструменты!K8</f>
        <v>11</v>
      </c>
      <c r="I32" s="33">
        <f t="shared" si="0"/>
        <v>2272750</v>
      </c>
      <c r="J32" s="33">
        <f t="shared" si="1"/>
        <v>18182</v>
      </c>
      <c r="K32" s="34">
        <f>Инструменты!L8</f>
        <v>0.025</v>
      </c>
      <c r="L32" s="33">
        <f t="shared" si="2"/>
        <v>455</v>
      </c>
      <c r="M32" s="33">
        <f>ROUND(L32*Допущения!$C$13,0)</f>
        <v>1933750</v>
      </c>
      <c r="N32" s="35">
        <f t="shared" si="3"/>
        <v>0.103425985778927</v>
      </c>
    </row>
    <row r="33" spans="1:14">
      <c r="A33" s="31" t="s">
        <v>143</v>
      </c>
      <c r="B33" s="32" t="str">
        <f>Инструменты!B9</f>
        <v>ECCO Kids · автотаргетинг · РСЯ</v>
      </c>
      <c r="C33" s="31" t="str">
        <f>Инструменты!D9</f>
        <v>РСЯ</v>
      </c>
      <c r="D33" s="32" t="str">
        <f>Инструменты!E9</f>
        <v>автотаргетинг</v>
      </c>
      <c r="E33" s="31" t="str">
        <f>Инструменты!G9</f>
        <v>Максимум кликов</v>
      </c>
      <c r="F33" s="33">
        <f>Инструменты!I9</f>
        <v>100000</v>
      </c>
      <c r="G33" s="34">
        <f>Инструменты!J9</f>
        <v>0.008</v>
      </c>
      <c r="H33" s="33">
        <f>Инструменты!K9</f>
        <v>11</v>
      </c>
      <c r="I33" s="33">
        <f t="shared" si="0"/>
        <v>1136375</v>
      </c>
      <c r="J33" s="33">
        <f t="shared" si="1"/>
        <v>9091</v>
      </c>
      <c r="K33" s="34">
        <f>Инструменты!L9</f>
        <v>0.015</v>
      </c>
      <c r="L33" s="33">
        <f t="shared" si="2"/>
        <v>136</v>
      </c>
      <c r="M33" s="33">
        <f>ROUND(L33*Допущения!$C$13,0)</f>
        <v>578000</v>
      </c>
      <c r="N33" s="35">
        <f t="shared" si="3"/>
        <v>0.173010380622837</v>
      </c>
    </row>
    <row r="34" spans="1:14">
      <c r="A34" s="31" t="s">
        <v>143</v>
      </c>
      <c r="B34" s="32" t="str">
        <f>Инструменты!B10</f>
        <v>ECCO Kids · защита бренда · РСЯ</v>
      </c>
      <c r="C34" s="31" t="str">
        <f>Инструменты!D10</f>
        <v>РСЯ</v>
      </c>
      <c r="D34" s="32" t="str">
        <f>Инструменты!E10</f>
        <v>бренд в сетях</v>
      </c>
      <c r="E34" s="31" t="str">
        <f>Инструменты!G10</f>
        <v>Максимум конверсий</v>
      </c>
      <c r="F34" s="33">
        <f>Инструменты!I10</f>
        <v>50000</v>
      </c>
      <c r="G34" s="34">
        <f>Инструменты!J10</f>
        <v>0.008</v>
      </c>
      <c r="H34" s="33">
        <f>Инструменты!K10</f>
        <v>11</v>
      </c>
      <c r="I34" s="33">
        <f t="shared" si="0"/>
        <v>568125</v>
      </c>
      <c r="J34" s="33">
        <f t="shared" si="1"/>
        <v>4545</v>
      </c>
      <c r="K34" s="34">
        <f>Инструменты!L10</f>
        <v>0.025</v>
      </c>
      <c r="L34" s="33">
        <f t="shared" si="2"/>
        <v>114</v>
      </c>
      <c r="M34" s="33">
        <f>ROUND(L34*Допущения!$C$13,0)</f>
        <v>484500</v>
      </c>
      <c r="N34" s="35">
        <f t="shared" si="3"/>
        <v>0.103199174406605</v>
      </c>
    </row>
    <row r="35" spans="1:14">
      <c r="A35" s="10" t="s">
        <v>144</v>
      </c>
      <c r="B35" s="9" t="str">
        <f>Инструменты!B5</f>
        <v>ECCO Kids · бренд · Поиск</v>
      </c>
      <c r="C35" s="10" t="str">
        <f>Инструменты!D5</f>
        <v>Поиск</v>
      </c>
      <c r="D35" s="9" t="str">
        <f>Инструменты!E5</f>
        <v>ключи бренд / бренд+товар</v>
      </c>
      <c r="E35" s="10" t="str">
        <f>Инструменты!G5</f>
        <v>Максимум конверсий</v>
      </c>
      <c r="F35" s="12">
        <f>Инструменты!I5</f>
        <v>180000</v>
      </c>
      <c r="G35" s="36">
        <f>Инструменты!J5</f>
        <v>0.1</v>
      </c>
      <c r="H35" s="12">
        <f>Инструменты!K5</f>
        <v>28</v>
      </c>
      <c r="I35" s="12">
        <f t="shared" si="0"/>
        <v>64290</v>
      </c>
      <c r="J35" s="12">
        <f t="shared" si="1"/>
        <v>6429</v>
      </c>
      <c r="K35" s="36">
        <f>Инструменты!L5</f>
        <v>0.065</v>
      </c>
      <c r="L35" s="12">
        <f t="shared" si="2"/>
        <v>418</v>
      </c>
      <c r="M35" s="12">
        <f>ROUND(L35*Допущения!$C$13,0)</f>
        <v>1776500</v>
      </c>
      <c r="N35" s="11">
        <f t="shared" si="3"/>
        <v>0.10132282578103</v>
      </c>
    </row>
    <row r="36" spans="1:14">
      <c r="A36" s="10" t="s">
        <v>144</v>
      </c>
      <c r="B36" s="9" t="str">
        <f>Инструменты!B6</f>
        <v>ECCO Kids · категория boys · Поиск</v>
      </c>
      <c r="C36" s="10" t="str">
        <f>Инструменты!D6</f>
        <v>Поиск</v>
      </c>
      <c r="D36" s="9" t="str">
        <f>Инструменты!E6</f>
        <v>ключи категория kids/boys/кроссовки</v>
      </c>
      <c r="E36" s="10" t="str">
        <f>Инструменты!G6</f>
        <v>Максимум конверсий</v>
      </c>
      <c r="F36" s="12">
        <f>Инструменты!I6</f>
        <v>320000</v>
      </c>
      <c r="G36" s="36">
        <f>Инструменты!J6</f>
        <v>0.045</v>
      </c>
      <c r="H36" s="12">
        <f>Инструменты!K6</f>
        <v>48</v>
      </c>
      <c r="I36" s="12">
        <f t="shared" si="0"/>
        <v>148156</v>
      </c>
      <c r="J36" s="12">
        <f t="shared" si="1"/>
        <v>6667</v>
      </c>
      <c r="K36" s="36">
        <f>Инструменты!L6</f>
        <v>0.038</v>
      </c>
      <c r="L36" s="12">
        <f t="shared" si="2"/>
        <v>253</v>
      </c>
      <c r="M36" s="12">
        <f>ROUND(L36*Допущения!$C$13,0)</f>
        <v>1075250</v>
      </c>
      <c r="N36" s="11">
        <f t="shared" si="3"/>
        <v>0.297605208091142</v>
      </c>
    </row>
    <row r="37" spans="1:14">
      <c r="A37" s="10" t="s">
        <v>144</v>
      </c>
      <c r="B37" s="9" t="str">
        <f>Инструменты!B7</f>
        <v>ECCO Kids · товарная галерея · Поиск</v>
      </c>
      <c r="C37" s="10" t="str">
        <f>Инструменты!D7</f>
        <v>Поиск</v>
      </c>
      <c r="D37" s="9" t="str">
        <f>Инструменты!E7</f>
        <v>фид + товарные объявления</v>
      </c>
      <c r="E37" s="10" t="str">
        <f>Инструменты!G7</f>
        <v>Максимум конверсий</v>
      </c>
      <c r="F37" s="12">
        <f>Инструменты!I7</f>
        <v>150000</v>
      </c>
      <c r="G37" s="36">
        <f>Инструменты!J7</f>
        <v>0.07</v>
      </c>
      <c r="H37" s="12">
        <f>Инструменты!K7</f>
        <v>44</v>
      </c>
      <c r="I37" s="12">
        <f t="shared" si="0"/>
        <v>48700</v>
      </c>
      <c r="J37" s="12">
        <f t="shared" si="1"/>
        <v>3409</v>
      </c>
      <c r="K37" s="36">
        <f>Инструменты!L7</f>
        <v>0.045</v>
      </c>
      <c r="L37" s="12">
        <f t="shared" si="2"/>
        <v>153</v>
      </c>
      <c r="M37" s="12">
        <f>ROUND(L37*Допущения!$C$13,0)</f>
        <v>650250</v>
      </c>
      <c r="N37" s="11">
        <f t="shared" si="3"/>
        <v>0.230680507497116</v>
      </c>
    </row>
    <row r="38" spans="1:14">
      <c r="A38" s="10" t="s">
        <v>144</v>
      </c>
      <c r="B38" s="9" t="str">
        <f>Инструменты!B8</f>
        <v>ECCO Kids · интересы и ретаргетинг · РСЯ</v>
      </c>
      <c r="C38" s="10" t="str">
        <f>Инструменты!D8</f>
        <v>РСЯ</v>
      </c>
      <c r="D38" s="9" t="str">
        <f>Инструменты!E8</f>
        <v>интересы (kids/fashion/родители) + ретаргетинг визитов/корзины</v>
      </c>
      <c r="E38" s="10" t="str">
        <f>Инструменты!G8</f>
        <v>Максимум конверсий</v>
      </c>
      <c r="F38" s="12">
        <f>Инструменты!I8</f>
        <v>200000</v>
      </c>
      <c r="G38" s="36">
        <f>Инструменты!J8</f>
        <v>0.008</v>
      </c>
      <c r="H38" s="12">
        <f>Инструменты!K8</f>
        <v>11</v>
      </c>
      <c r="I38" s="12">
        <f t="shared" si="0"/>
        <v>2272750</v>
      </c>
      <c r="J38" s="12">
        <f t="shared" si="1"/>
        <v>18182</v>
      </c>
      <c r="K38" s="36">
        <f>Инструменты!L8</f>
        <v>0.025</v>
      </c>
      <c r="L38" s="12">
        <f t="shared" si="2"/>
        <v>455</v>
      </c>
      <c r="M38" s="12">
        <f>ROUND(L38*Допущения!$C$13,0)</f>
        <v>1933750</v>
      </c>
      <c r="N38" s="11">
        <f t="shared" si="3"/>
        <v>0.103425985778927</v>
      </c>
    </row>
    <row r="39" spans="1:14">
      <c r="A39" s="10" t="s">
        <v>144</v>
      </c>
      <c r="B39" s="9" t="str">
        <f>Инструменты!B9</f>
        <v>ECCO Kids · автотаргетинг · РСЯ</v>
      </c>
      <c r="C39" s="10" t="str">
        <f>Инструменты!D9</f>
        <v>РСЯ</v>
      </c>
      <c r="D39" s="9" t="str">
        <f>Инструменты!E9</f>
        <v>автотаргетинг</v>
      </c>
      <c r="E39" s="10" t="str">
        <f>Инструменты!G9</f>
        <v>Максимум кликов</v>
      </c>
      <c r="F39" s="12">
        <f>Инструменты!I9</f>
        <v>100000</v>
      </c>
      <c r="G39" s="36">
        <f>Инструменты!J9</f>
        <v>0.008</v>
      </c>
      <c r="H39" s="12">
        <f>Инструменты!K9</f>
        <v>11</v>
      </c>
      <c r="I39" s="12">
        <f t="shared" si="0"/>
        <v>1136375</v>
      </c>
      <c r="J39" s="12">
        <f t="shared" si="1"/>
        <v>9091</v>
      </c>
      <c r="K39" s="36">
        <f>Инструменты!L9</f>
        <v>0.015</v>
      </c>
      <c r="L39" s="12">
        <f t="shared" si="2"/>
        <v>136</v>
      </c>
      <c r="M39" s="12">
        <f>ROUND(L39*Допущения!$C$13,0)</f>
        <v>578000</v>
      </c>
      <c r="N39" s="11">
        <f t="shared" si="3"/>
        <v>0.173010380622837</v>
      </c>
    </row>
    <row r="40" spans="1:14">
      <c r="A40" s="10" t="s">
        <v>144</v>
      </c>
      <c r="B40" s="9" t="str">
        <f>Инструменты!B10</f>
        <v>ECCO Kids · защита бренда · РСЯ</v>
      </c>
      <c r="C40" s="10" t="str">
        <f>Инструменты!D10</f>
        <v>РСЯ</v>
      </c>
      <c r="D40" s="9" t="str">
        <f>Инструменты!E10</f>
        <v>бренд в сетях</v>
      </c>
      <c r="E40" s="10" t="str">
        <f>Инструменты!G10</f>
        <v>Максимум конверсий</v>
      </c>
      <c r="F40" s="12">
        <f>Инструменты!I10</f>
        <v>50000</v>
      </c>
      <c r="G40" s="36">
        <f>Инструменты!J10</f>
        <v>0.008</v>
      </c>
      <c r="H40" s="12">
        <f>Инструменты!K10</f>
        <v>11</v>
      </c>
      <c r="I40" s="12">
        <f t="shared" si="0"/>
        <v>568125</v>
      </c>
      <c r="J40" s="12">
        <f t="shared" si="1"/>
        <v>4545</v>
      </c>
      <c r="K40" s="36">
        <f>Инструменты!L10</f>
        <v>0.025</v>
      </c>
      <c r="L40" s="12">
        <f t="shared" si="2"/>
        <v>114</v>
      </c>
      <c r="M40" s="12">
        <f>ROUND(L40*Допущения!$C$13,0)</f>
        <v>484500</v>
      </c>
      <c r="N40" s="11">
        <f t="shared" si="3"/>
        <v>0.103199174406605</v>
      </c>
    </row>
    <row r="41" spans="1:14">
      <c r="A41" s="31" t="s">
        <v>145</v>
      </c>
      <c r="B41" s="32" t="str">
        <f>Инструменты!B5</f>
        <v>ECCO Kids · бренд · Поиск</v>
      </c>
      <c r="C41" s="31" t="str">
        <f>Инструменты!D5</f>
        <v>Поиск</v>
      </c>
      <c r="D41" s="32" t="str">
        <f>Инструменты!E5</f>
        <v>ключи бренд / бренд+товар</v>
      </c>
      <c r="E41" s="31" t="str">
        <f>Инструменты!G5</f>
        <v>Максимум конверсий</v>
      </c>
      <c r="F41" s="33">
        <f>Инструменты!I5</f>
        <v>180000</v>
      </c>
      <c r="G41" s="34">
        <f>Инструменты!J5</f>
        <v>0.1</v>
      </c>
      <c r="H41" s="33">
        <f>Инструменты!K5</f>
        <v>28</v>
      </c>
      <c r="I41" s="33">
        <f t="shared" si="0"/>
        <v>64290</v>
      </c>
      <c r="J41" s="33">
        <f t="shared" si="1"/>
        <v>6429</v>
      </c>
      <c r="K41" s="34">
        <f>Инструменты!L5</f>
        <v>0.065</v>
      </c>
      <c r="L41" s="33">
        <f t="shared" si="2"/>
        <v>418</v>
      </c>
      <c r="M41" s="33">
        <f>ROUND(L41*Допущения!$C$13,0)</f>
        <v>1776500</v>
      </c>
      <c r="N41" s="35">
        <f t="shared" si="3"/>
        <v>0.10132282578103</v>
      </c>
    </row>
    <row r="42" spans="1:14">
      <c r="A42" s="31" t="s">
        <v>145</v>
      </c>
      <c r="B42" s="32" t="str">
        <f>Инструменты!B6</f>
        <v>ECCO Kids · категория boys · Поиск</v>
      </c>
      <c r="C42" s="31" t="str">
        <f>Инструменты!D6</f>
        <v>Поиск</v>
      </c>
      <c r="D42" s="32" t="str">
        <f>Инструменты!E6</f>
        <v>ключи категория kids/boys/кроссовки</v>
      </c>
      <c r="E42" s="31" t="str">
        <f>Инструменты!G6</f>
        <v>Максимум конверсий</v>
      </c>
      <c r="F42" s="33">
        <f>Инструменты!I6</f>
        <v>320000</v>
      </c>
      <c r="G42" s="34">
        <f>Инструменты!J6</f>
        <v>0.045</v>
      </c>
      <c r="H42" s="33">
        <f>Инструменты!K6</f>
        <v>48</v>
      </c>
      <c r="I42" s="33">
        <f t="shared" si="0"/>
        <v>148156</v>
      </c>
      <c r="J42" s="33">
        <f t="shared" si="1"/>
        <v>6667</v>
      </c>
      <c r="K42" s="34">
        <f>Инструменты!L6</f>
        <v>0.038</v>
      </c>
      <c r="L42" s="33">
        <f t="shared" si="2"/>
        <v>253</v>
      </c>
      <c r="M42" s="33">
        <f>ROUND(L42*Допущения!$C$13,0)</f>
        <v>1075250</v>
      </c>
      <c r="N42" s="35">
        <f t="shared" si="3"/>
        <v>0.297605208091142</v>
      </c>
    </row>
    <row r="43" spans="1:14">
      <c r="A43" s="31" t="s">
        <v>145</v>
      </c>
      <c r="B43" s="32" t="str">
        <f>Инструменты!B7</f>
        <v>ECCO Kids · товарная галерея · Поиск</v>
      </c>
      <c r="C43" s="31" t="str">
        <f>Инструменты!D7</f>
        <v>Поиск</v>
      </c>
      <c r="D43" s="32" t="str">
        <f>Инструменты!E7</f>
        <v>фид + товарные объявления</v>
      </c>
      <c r="E43" s="31" t="str">
        <f>Инструменты!G7</f>
        <v>Максимум конверсий</v>
      </c>
      <c r="F43" s="33">
        <f>Инструменты!I7</f>
        <v>150000</v>
      </c>
      <c r="G43" s="34">
        <f>Инструменты!J7</f>
        <v>0.07</v>
      </c>
      <c r="H43" s="33">
        <f>Инструменты!K7</f>
        <v>44</v>
      </c>
      <c r="I43" s="33">
        <f t="shared" si="0"/>
        <v>48700</v>
      </c>
      <c r="J43" s="33">
        <f t="shared" si="1"/>
        <v>3409</v>
      </c>
      <c r="K43" s="34">
        <f>Инструменты!L7</f>
        <v>0.045</v>
      </c>
      <c r="L43" s="33">
        <f t="shared" si="2"/>
        <v>153</v>
      </c>
      <c r="M43" s="33">
        <f>ROUND(L43*Допущения!$C$13,0)</f>
        <v>650250</v>
      </c>
      <c r="N43" s="35">
        <f t="shared" si="3"/>
        <v>0.230680507497116</v>
      </c>
    </row>
    <row r="44" spans="1:14">
      <c r="A44" s="31" t="s">
        <v>145</v>
      </c>
      <c r="B44" s="32" t="str">
        <f>Инструменты!B8</f>
        <v>ECCO Kids · интересы и ретаргетинг · РСЯ</v>
      </c>
      <c r="C44" s="31" t="str">
        <f>Инструменты!D8</f>
        <v>РСЯ</v>
      </c>
      <c r="D44" s="32" t="str">
        <f>Инструменты!E8</f>
        <v>интересы (kids/fashion/родители) + ретаргетинг визитов/корзины</v>
      </c>
      <c r="E44" s="31" t="str">
        <f>Инструменты!G8</f>
        <v>Максимум конверсий</v>
      </c>
      <c r="F44" s="33">
        <f>Инструменты!I8</f>
        <v>200000</v>
      </c>
      <c r="G44" s="34">
        <f>Инструменты!J8</f>
        <v>0.008</v>
      </c>
      <c r="H44" s="33">
        <f>Инструменты!K8</f>
        <v>11</v>
      </c>
      <c r="I44" s="33">
        <f t="shared" si="0"/>
        <v>2272750</v>
      </c>
      <c r="J44" s="33">
        <f t="shared" si="1"/>
        <v>18182</v>
      </c>
      <c r="K44" s="34">
        <f>Инструменты!L8</f>
        <v>0.025</v>
      </c>
      <c r="L44" s="33">
        <f t="shared" si="2"/>
        <v>455</v>
      </c>
      <c r="M44" s="33">
        <f>ROUND(L44*Допущения!$C$13,0)</f>
        <v>1933750</v>
      </c>
      <c r="N44" s="35">
        <f t="shared" si="3"/>
        <v>0.103425985778927</v>
      </c>
    </row>
    <row r="45" spans="1:14">
      <c r="A45" s="31" t="s">
        <v>145</v>
      </c>
      <c r="B45" s="32" t="str">
        <f>Инструменты!B9</f>
        <v>ECCO Kids · автотаргетинг · РСЯ</v>
      </c>
      <c r="C45" s="31" t="str">
        <f>Инструменты!D9</f>
        <v>РСЯ</v>
      </c>
      <c r="D45" s="32" t="str">
        <f>Инструменты!E9</f>
        <v>автотаргетинг</v>
      </c>
      <c r="E45" s="31" t="str">
        <f>Инструменты!G9</f>
        <v>Максимум кликов</v>
      </c>
      <c r="F45" s="33">
        <f>Инструменты!I9</f>
        <v>100000</v>
      </c>
      <c r="G45" s="34">
        <f>Инструменты!J9</f>
        <v>0.008</v>
      </c>
      <c r="H45" s="33">
        <f>Инструменты!K9</f>
        <v>11</v>
      </c>
      <c r="I45" s="33">
        <f t="shared" si="0"/>
        <v>1136375</v>
      </c>
      <c r="J45" s="33">
        <f t="shared" si="1"/>
        <v>9091</v>
      </c>
      <c r="K45" s="34">
        <f>Инструменты!L9</f>
        <v>0.015</v>
      </c>
      <c r="L45" s="33">
        <f t="shared" si="2"/>
        <v>136</v>
      </c>
      <c r="M45" s="33">
        <f>ROUND(L45*Допущения!$C$13,0)</f>
        <v>578000</v>
      </c>
      <c r="N45" s="35">
        <f t="shared" si="3"/>
        <v>0.173010380622837</v>
      </c>
    </row>
    <row r="46" spans="1:14">
      <c r="A46" s="31" t="s">
        <v>145</v>
      </c>
      <c r="B46" s="32" t="str">
        <f>Инструменты!B10</f>
        <v>ECCO Kids · защита бренда · РСЯ</v>
      </c>
      <c r="C46" s="31" t="str">
        <f>Инструменты!D10</f>
        <v>РСЯ</v>
      </c>
      <c r="D46" s="32" t="str">
        <f>Инструменты!E10</f>
        <v>бренд в сетях</v>
      </c>
      <c r="E46" s="31" t="str">
        <f>Инструменты!G10</f>
        <v>Максимум конверсий</v>
      </c>
      <c r="F46" s="33">
        <f>Инструменты!I10</f>
        <v>50000</v>
      </c>
      <c r="G46" s="34">
        <f>Инструменты!J10</f>
        <v>0.008</v>
      </c>
      <c r="H46" s="33">
        <f>Инструменты!K10</f>
        <v>11</v>
      </c>
      <c r="I46" s="33">
        <f t="shared" si="0"/>
        <v>568125</v>
      </c>
      <c r="J46" s="33">
        <f t="shared" si="1"/>
        <v>4545</v>
      </c>
      <c r="K46" s="34">
        <f>Инструменты!L10</f>
        <v>0.025</v>
      </c>
      <c r="L46" s="33">
        <f t="shared" si="2"/>
        <v>114</v>
      </c>
      <c r="M46" s="33">
        <f>ROUND(L46*Допущения!$C$13,0)</f>
        <v>484500</v>
      </c>
      <c r="N46" s="35">
        <f t="shared" si="3"/>
        <v>0.103199174406605</v>
      </c>
    </row>
    <row r="47" spans="1:14">
      <c r="A47" s="10" t="s">
        <v>146</v>
      </c>
      <c r="B47" s="9" t="str">
        <f>Инструменты!B5</f>
        <v>ECCO Kids · бренд · Поиск</v>
      </c>
      <c r="C47" s="10" t="str">
        <f>Инструменты!D5</f>
        <v>Поиск</v>
      </c>
      <c r="D47" s="9" t="str">
        <f>Инструменты!E5</f>
        <v>ключи бренд / бренд+товар</v>
      </c>
      <c r="E47" s="10" t="str">
        <f>Инструменты!G5</f>
        <v>Максимум конверсий</v>
      </c>
      <c r="F47" s="12">
        <f>Инструменты!I5</f>
        <v>180000</v>
      </c>
      <c r="G47" s="36">
        <f>Инструменты!J5</f>
        <v>0.1</v>
      </c>
      <c r="H47" s="12">
        <f>Инструменты!K5</f>
        <v>28</v>
      </c>
      <c r="I47" s="12">
        <f t="shared" si="0"/>
        <v>64290</v>
      </c>
      <c r="J47" s="12">
        <f t="shared" si="1"/>
        <v>6429</v>
      </c>
      <c r="K47" s="36">
        <f>Инструменты!L5</f>
        <v>0.065</v>
      </c>
      <c r="L47" s="12">
        <f t="shared" si="2"/>
        <v>418</v>
      </c>
      <c r="M47" s="12">
        <f>ROUND(L47*Допущения!$C$13,0)</f>
        <v>1776500</v>
      </c>
      <c r="N47" s="11">
        <f t="shared" si="3"/>
        <v>0.10132282578103</v>
      </c>
    </row>
    <row r="48" spans="1:14">
      <c r="A48" s="10" t="s">
        <v>146</v>
      </c>
      <c r="B48" s="9" t="str">
        <f>Инструменты!B6</f>
        <v>ECCO Kids · категория boys · Поиск</v>
      </c>
      <c r="C48" s="10" t="str">
        <f>Инструменты!D6</f>
        <v>Поиск</v>
      </c>
      <c r="D48" s="9" t="str">
        <f>Инструменты!E6</f>
        <v>ключи категория kids/boys/кроссовки</v>
      </c>
      <c r="E48" s="10" t="str">
        <f>Инструменты!G6</f>
        <v>Максимум конверсий</v>
      </c>
      <c r="F48" s="12">
        <f>Инструменты!I6</f>
        <v>320000</v>
      </c>
      <c r="G48" s="36">
        <f>Инструменты!J6</f>
        <v>0.045</v>
      </c>
      <c r="H48" s="12">
        <f>Инструменты!K6</f>
        <v>48</v>
      </c>
      <c r="I48" s="12">
        <f t="shared" si="0"/>
        <v>148156</v>
      </c>
      <c r="J48" s="12">
        <f t="shared" si="1"/>
        <v>6667</v>
      </c>
      <c r="K48" s="36">
        <f>Инструменты!L6</f>
        <v>0.038</v>
      </c>
      <c r="L48" s="12">
        <f t="shared" si="2"/>
        <v>253</v>
      </c>
      <c r="M48" s="12">
        <f>ROUND(L48*Допущения!$C$13,0)</f>
        <v>1075250</v>
      </c>
      <c r="N48" s="11">
        <f t="shared" si="3"/>
        <v>0.297605208091142</v>
      </c>
    </row>
    <row r="49" spans="1:14">
      <c r="A49" s="10" t="s">
        <v>146</v>
      </c>
      <c r="B49" s="9" t="str">
        <f>Инструменты!B7</f>
        <v>ECCO Kids · товарная галерея · Поиск</v>
      </c>
      <c r="C49" s="10" t="str">
        <f>Инструменты!D7</f>
        <v>Поиск</v>
      </c>
      <c r="D49" s="9" t="str">
        <f>Инструменты!E7</f>
        <v>фид + товарные объявления</v>
      </c>
      <c r="E49" s="10" t="str">
        <f>Инструменты!G7</f>
        <v>Максимум конверсий</v>
      </c>
      <c r="F49" s="12">
        <f>Инструменты!I7</f>
        <v>150000</v>
      </c>
      <c r="G49" s="36">
        <f>Инструменты!J7</f>
        <v>0.07</v>
      </c>
      <c r="H49" s="12">
        <f>Инструменты!K7</f>
        <v>44</v>
      </c>
      <c r="I49" s="12">
        <f t="shared" si="0"/>
        <v>48700</v>
      </c>
      <c r="J49" s="12">
        <f t="shared" si="1"/>
        <v>3409</v>
      </c>
      <c r="K49" s="36">
        <f>Инструменты!L7</f>
        <v>0.045</v>
      </c>
      <c r="L49" s="12">
        <f t="shared" si="2"/>
        <v>153</v>
      </c>
      <c r="M49" s="12">
        <f>ROUND(L49*Допущения!$C$13,0)</f>
        <v>650250</v>
      </c>
      <c r="N49" s="11">
        <f t="shared" si="3"/>
        <v>0.230680507497116</v>
      </c>
    </row>
    <row r="50" spans="1:14">
      <c r="A50" s="10" t="s">
        <v>146</v>
      </c>
      <c r="B50" s="9" t="str">
        <f>Инструменты!B8</f>
        <v>ECCO Kids · интересы и ретаргетинг · РСЯ</v>
      </c>
      <c r="C50" s="10" t="str">
        <f>Инструменты!D8</f>
        <v>РСЯ</v>
      </c>
      <c r="D50" s="9" t="str">
        <f>Инструменты!E8</f>
        <v>интересы (kids/fashion/родители) + ретаргетинг визитов/корзины</v>
      </c>
      <c r="E50" s="10" t="str">
        <f>Инструменты!G8</f>
        <v>Максимум конверсий</v>
      </c>
      <c r="F50" s="12">
        <f>Инструменты!I8</f>
        <v>200000</v>
      </c>
      <c r="G50" s="36">
        <f>Инструменты!J8</f>
        <v>0.008</v>
      </c>
      <c r="H50" s="12">
        <f>Инструменты!K8</f>
        <v>11</v>
      </c>
      <c r="I50" s="12">
        <f t="shared" si="0"/>
        <v>2272750</v>
      </c>
      <c r="J50" s="12">
        <f t="shared" si="1"/>
        <v>18182</v>
      </c>
      <c r="K50" s="36">
        <f>Инструменты!L8</f>
        <v>0.025</v>
      </c>
      <c r="L50" s="12">
        <f t="shared" si="2"/>
        <v>455</v>
      </c>
      <c r="M50" s="12">
        <f>ROUND(L50*Допущения!$C$13,0)</f>
        <v>1933750</v>
      </c>
      <c r="N50" s="11">
        <f t="shared" si="3"/>
        <v>0.103425985778927</v>
      </c>
    </row>
    <row r="51" spans="1:14">
      <c r="A51" s="10" t="s">
        <v>146</v>
      </c>
      <c r="B51" s="9" t="str">
        <f>Инструменты!B9</f>
        <v>ECCO Kids · автотаргетинг · РСЯ</v>
      </c>
      <c r="C51" s="10" t="str">
        <f>Инструменты!D9</f>
        <v>РСЯ</v>
      </c>
      <c r="D51" s="9" t="str">
        <f>Инструменты!E9</f>
        <v>автотаргетинг</v>
      </c>
      <c r="E51" s="10" t="str">
        <f>Инструменты!G9</f>
        <v>Максимум кликов</v>
      </c>
      <c r="F51" s="12">
        <f>Инструменты!I9</f>
        <v>100000</v>
      </c>
      <c r="G51" s="36">
        <f>Инструменты!J9</f>
        <v>0.008</v>
      </c>
      <c r="H51" s="12">
        <f>Инструменты!K9</f>
        <v>11</v>
      </c>
      <c r="I51" s="12">
        <f t="shared" si="0"/>
        <v>1136375</v>
      </c>
      <c r="J51" s="12">
        <f t="shared" si="1"/>
        <v>9091</v>
      </c>
      <c r="K51" s="36">
        <f>Инструменты!L9</f>
        <v>0.015</v>
      </c>
      <c r="L51" s="12">
        <f t="shared" si="2"/>
        <v>136</v>
      </c>
      <c r="M51" s="12">
        <f>ROUND(L51*Допущения!$C$13,0)</f>
        <v>578000</v>
      </c>
      <c r="N51" s="11">
        <f t="shared" si="3"/>
        <v>0.173010380622837</v>
      </c>
    </row>
    <row r="52" spans="1:14">
      <c r="A52" s="10" t="s">
        <v>146</v>
      </c>
      <c r="B52" s="9" t="str">
        <f>Инструменты!B10</f>
        <v>ECCO Kids · защита бренда · РСЯ</v>
      </c>
      <c r="C52" s="10" t="str">
        <f>Инструменты!D10</f>
        <v>РСЯ</v>
      </c>
      <c r="D52" s="9" t="str">
        <f>Инструменты!E10</f>
        <v>бренд в сетях</v>
      </c>
      <c r="E52" s="10" t="str">
        <f>Инструменты!G10</f>
        <v>Максимум конверсий</v>
      </c>
      <c r="F52" s="12">
        <f>Инструменты!I10</f>
        <v>50000</v>
      </c>
      <c r="G52" s="36">
        <f>Инструменты!J10</f>
        <v>0.008</v>
      </c>
      <c r="H52" s="12">
        <f>Инструменты!K10</f>
        <v>11</v>
      </c>
      <c r="I52" s="12">
        <f t="shared" si="0"/>
        <v>568125</v>
      </c>
      <c r="J52" s="12">
        <f t="shared" si="1"/>
        <v>4545</v>
      </c>
      <c r="K52" s="36">
        <f>Инструменты!L10</f>
        <v>0.025</v>
      </c>
      <c r="L52" s="12">
        <f t="shared" si="2"/>
        <v>114</v>
      </c>
      <c r="M52" s="12">
        <f>ROUND(L52*Допущения!$C$13,0)</f>
        <v>484500</v>
      </c>
      <c r="N52" s="11">
        <f t="shared" si="3"/>
        <v>0.103199174406605</v>
      </c>
    </row>
    <row r="53" spans="1:14">
      <c r="A53" s="31" t="s">
        <v>147</v>
      </c>
      <c r="B53" s="32" t="str">
        <f>Инструменты!B5</f>
        <v>ECCO Kids · бренд · Поиск</v>
      </c>
      <c r="C53" s="31" t="str">
        <f>Инструменты!D5</f>
        <v>Поиск</v>
      </c>
      <c r="D53" s="32" t="str">
        <f>Инструменты!E5</f>
        <v>ключи бренд / бренд+товар</v>
      </c>
      <c r="E53" s="31" t="str">
        <f>Инструменты!G5</f>
        <v>Максимум конверсий</v>
      </c>
      <c r="F53" s="33">
        <f>Инструменты!I5</f>
        <v>180000</v>
      </c>
      <c r="G53" s="34">
        <f>Инструменты!J5</f>
        <v>0.1</v>
      </c>
      <c r="H53" s="33">
        <f>Инструменты!K5</f>
        <v>28</v>
      </c>
      <c r="I53" s="33">
        <f t="shared" si="0"/>
        <v>64290</v>
      </c>
      <c r="J53" s="33">
        <f t="shared" si="1"/>
        <v>6429</v>
      </c>
      <c r="K53" s="34">
        <f>Инструменты!L5</f>
        <v>0.065</v>
      </c>
      <c r="L53" s="33">
        <f t="shared" si="2"/>
        <v>418</v>
      </c>
      <c r="M53" s="33">
        <f>ROUND(L53*Допущения!$C$13,0)</f>
        <v>1776500</v>
      </c>
      <c r="N53" s="35">
        <f t="shared" si="3"/>
        <v>0.10132282578103</v>
      </c>
    </row>
    <row r="54" spans="1:14">
      <c r="A54" s="31" t="s">
        <v>147</v>
      </c>
      <c r="B54" s="32" t="str">
        <f>Инструменты!B6</f>
        <v>ECCO Kids · категория boys · Поиск</v>
      </c>
      <c r="C54" s="31" t="str">
        <f>Инструменты!D6</f>
        <v>Поиск</v>
      </c>
      <c r="D54" s="32" t="str">
        <f>Инструменты!E6</f>
        <v>ключи категория kids/boys/кроссовки</v>
      </c>
      <c r="E54" s="31" t="str">
        <f>Инструменты!G6</f>
        <v>Максимум конверсий</v>
      </c>
      <c r="F54" s="33">
        <f>Инструменты!I6</f>
        <v>320000</v>
      </c>
      <c r="G54" s="34">
        <f>Инструменты!J6</f>
        <v>0.045</v>
      </c>
      <c r="H54" s="33">
        <f>Инструменты!K6</f>
        <v>48</v>
      </c>
      <c r="I54" s="33">
        <f t="shared" si="0"/>
        <v>148156</v>
      </c>
      <c r="J54" s="33">
        <f t="shared" si="1"/>
        <v>6667</v>
      </c>
      <c r="K54" s="34">
        <f>Инструменты!L6</f>
        <v>0.038</v>
      </c>
      <c r="L54" s="33">
        <f t="shared" si="2"/>
        <v>253</v>
      </c>
      <c r="M54" s="33">
        <f>ROUND(L54*Допущения!$C$13,0)</f>
        <v>1075250</v>
      </c>
      <c r="N54" s="35">
        <f t="shared" si="3"/>
        <v>0.297605208091142</v>
      </c>
    </row>
    <row r="55" spans="1:14">
      <c r="A55" s="31" t="s">
        <v>147</v>
      </c>
      <c r="B55" s="32" t="str">
        <f>Инструменты!B7</f>
        <v>ECCO Kids · товарная галерея · Поиск</v>
      </c>
      <c r="C55" s="31" t="str">
        <f>Инструменты!D7</f>
        <v>Поиск</v>
      </c>
      <c r="D55" s="32" t="str">
        <f>Инструменты!E7</f>
        <v>фид + товарные объявления</v>
      </c>
      <c r="E55" s="31" t="str">
        <f>Инструменты!G7</f>
        <v>Максимум конверсий</v>
      </c>
      <c r="F55" s="33">
        <f>Инструменты!I7</f>
        <v>150000</v>
      </c>
      <c r="G55" s="34">
        <f>Инструменты!J7</f>
        <v>0.07</v>
      </c>
      <c r="H55" s="33">
        <f>Инструменты!K7</f>
        <v>44</v>
      </c>
      <c r="I55" s="33">
        <f t="shared" si="0"/>
        <v>48700</v>
      </c>
      <c r="J55" s="33">
        <f t="shared" si="1"/>
        <v>3409</v>
      </c>
      <c r="K55" s="34">
        <f>Инструменты!L7</f>
        <v>0.045</v>
      </c>
      <c r="L55" s="33">
        <f t="shared" si="2"/>
        <v>153</v>
      </c>
      <c r="M55" s="33">
        <f>ROUND(L55*Допущения!$C$13,0)</f>
        <v>650250</v>
      </c>
      <c r="N55" s="35">
        <f t="shared" si="3"/>
        <v>0.230680507497116</v>
      </c>
    </row>
    <row r="56" spans="1:14">
      <c r="A56" s="31" t="s">
        <v>147</v>
      </c>
      <c r="B56" s="32" t="str">
        <f>Инструменты!B8</f>
        <v>ECCO Kids · интересы и ретаргетинг · РСЯ</v>
      </c>
      <c r="C56" s="31" t="str">
        <f>Инструменты!D8</f>
        <v>РСЯ</v>
      </c>
      <c r="D56" s="32" t="str">
        <f>Инструменты!E8</f>
        <v>интересы (kids/fashion/родители) + ретаргетинг визитов/корзины</v>
      </c>
      <c r="E56" s="31" t="str">
        <f>Инструменты!G8</f>
        <v>Максимум конверсий</v>
      </c>
      <c r="F56" s="33">
        <f>Инструменты!I8</f>
        <v>200000</v>
      </c>
      <c r="G56" s="34">
        <f>Инструменты!J8</f>
        <v>0.008</v>
      </c>
      <c r="H56" s="33">
        <f>Инструменты!K8</f>
        <v>11</v>
      </c>
      <c r="I56" s="33">
        <f t="shared" si="0"/>
        <v>2272750</v>
      </c>
      <c r="J56" s="33">
        <f t="shared" si="1"/>
        <v>18182</v>
      </c>
      <c r="K56" s="34">
        <f>Инструменты!L8</f>
        <v>0.025</v>
      </c>
      <c r="L56" s="33">
        <f t="shared" si="2"/>
        <v>455</v>
      </c>
      <c r="M56" s="33">
        <f>ROUND(L56*Допущения!$C$13,0)</f>
        <v>1933750</v>
      </c>
      <c r="N56" s="35">
        <f t="shared" si="3"/>
        <v>0.103425985778927</v>
      </c>
    </row>
    <row r="57" spans="1:14">
      <c r="A57" s="31" t="s">
        <v>147</v>
      </c>
      <c r="B57" s="32" t="str">
        <f>Инструменты!B9</f>
        <v>ECCO Kids · автотаргетинг · РСЯ</v>
      </c>
      <c r="C57" s="31" t="str">
        <f>Инструменты!D9</f>
        <v>РСЯ</v>
      </c>
      <c r="D57" s="32" t="str">
        <f>Инструменты!E9</f>
        <v>автотаргетинг</v>
      </c>
      <c r="E57" s="31" t="str">
        <f>Инструменты!G9</f>
        <v>Максимум кликов</v>
      </c>
      <c r="F57" s="33">
        <f>Инструменты!I9</f>
        <v>100000</v>
      </c>
      <c r="G57" s="34">
        <f>Инструменты!J9</f>
        <v>0.008</v>
      </c>
      <c r="H57" s="33">
        <f>Инструменты!K9</f>
        <v>11</v>
      </c>
      <c r="I57" s="33">
        <f t="shared" si="0"/>
        <v>1136375</v>
      </c>
      <c r="J57" s="33">
        <f t="shared" si="1"/>
        <v>9091</v>
      </c>
      <c r="K57" s="34">
        <f>Инструменты!L9</f>
        <v>0.015</v>
      </c>
      <c r="L57" s="33">
        <f t="shared" si="2"/>
        <v>136</v>
      </c>
      <c r="M57" s="33">
        <f>ROUND(L57*Допущения!$C$13,0)</f>
        <v>578000</v>
      </c>
      <c r="N57" s="35">
        <f t="shared" si="3"/>
        <v>0.173010380622837</v>
      </c>
    </row>
    <row r="58" spans="1:14">
      <c r="A58" s="31" t="s">
        <v>147</v>
      </c>
      <c r="B58" s="32" t="str">
        <f>Инструменты!B10</f>
        <v>ECCO Kids · защита бренда · РСЯ</v>
      </c>
      <c r="C58" s="31" t="str">
        <f>Инструменты!D10</f>
        <v>РСЯ</v>
      </c>
      <c r="D58" s="32" t="str">
        <f>Инструменты!E10</f>
        <v>бренд в сетях</v>
      </c>
      <c r="E58" s="31" t="str">
        <f>Инструменты!G10</f>
        <v>Максимум конверсий</v>
      </c>
      <c r="F58" s="33">
        <f>Инструменты!I10</f>
        <v>50000</v>
      </c>
      <c r="G58" s="34">
        <f>Инструменты!J10</f>
        <v>0.008</v>
      </c>
      <c r="H58" s="33">
        <f>Инструменты!K10</f>
        <v>11</v>
      </c>
      <c r="I58" s="33">
        <f t="shared" si="0"/>
        <v>568125</v>
      </c>
      <c r="J58" s="33">
        <f t="shared" si="1"/>
        <v>4545</v>
      </c>
      <c r="K58" s="34">
        <f>Инструменты!L10</f>
        <v>0.025</v>
      </c>
      <c r="L58" s="33">
        <f t="shared" si="2"/>
        <v>114</v>
      </c>
      <c r="M58" s="33">
        <f>ROUND(L58*Допущения!$C$13,0)</f>
        <v>484500</v>
      </c>
      <c r="N58" s="35">
        <f t="shared" si="3"/>
        <v>0.103199174406605</v>
      </c>
    </row>
    <row r="59" spans="1:14">
      <c r="A59" s="10" t="s">
        <v>148</v>
      </c>
      <c r="B59" s="9" t="str">
        <f>Инструменты!B5</f>
        <v>ECCO Kids · бренд · Поиск</v>
      </c>
      <c r="C59" s="10" t="str">
        <f>Инструменты!D5</f>
        <v>Поиск</v>
      </c>
      <c r="D59" s="9" t="str">
        <f>Инструменты!E5</f>
        <v>ключи бренд / бренд+товар</v>
      </c>
      <c r="E59" s="10" t="str">
        <f>Инструменты!G5</f>
        <v>Максимум конверсий</v>
      </c>
      <c r="F59" s="12">
        <f>Инструменты!I5</f>
        <v>180000</v>
      </c>
      <c r="G59" s="36">
        <f>Инструменты!J5</f>
        <v>0.1</v>
      </c>
      <c r="H59" s="12">
        <f>Инструменты!K5</f>
        <v>28</v>
      </c>
      <c r="I59" s="12">
        <f t="shared" si="0"/>
        <v>64290</v>
      </c>
      <c r="J59" s="12">
        <f t="shared" si="1"/>
        <v>6429</v>
      </c>
      <c r="K59" s="36">
        <f>Инструменты!L5</f>
        <v>0.065</v>
      </c>
      <c r="L59" s="12">
        <f t="shared" si="2"/>
        <v>418</v>
      </c>
      <c r="M59" s="12">
        <f>ROUND(L59*Допущения!$C$13,0)</f>
        <v>1776500</v>
      </c>
      <c r="N59" s="11">
        <f t="shared" si="3"/>
        <v>0.10132282578103</v>
      </c>
    </row>
    <row r="60" spans="1:14">
      <c r="A60" s="10" t="s">
        <v>148</v>
      </c>
      <c r="B60" s="9" t="str">
        <f>Инструменты!B6</f>
        <v>ECCO Kids · категория boys · Поиск</v>
      </c>
      <c r="C60" s="10" t="str">
        <f>Инструменты!D6</f>
        <v>Поиск</v>
      </c>
      <c r="D60" s="9" t="str">
        <f>Инструменты!E6</f>
        <v>ключи категория kids/boys/кроссовки</v>
      </c>
      <c r="E60" s="10" t="str">
        <f>Инструменты!G6</f>
        <v>Максимум конверсий</v>
      </c>
      <c r="F60" s="12">
        <f>Инструменты!I6</f>
        <v>320000</v>
      </c>
      <c r="G60" s="36">
        <f>Инструменты!J6</f>
        <v>0.045</v>
      </c>
      <c r="H60" s="12">
        <f>Инструменты!K6</f>
        <v>48</v>
      </c>
      <c r="I60" s="12">
        <f t="shared" si="0"/>
        <v>148156</v>
      </c>
      <c r="J60" s="12">
        <f t="shared" si="1"/>
        <v>6667</v>
      </c>
      <c r="K60" s="36">
        <f>Инструменты!L6</f>
        <v>0.038</v>
      </c>
      <c r="L60" s="12">
        <f t="shared" si="2"/>
        <v>253</v>
      </c>
      <c r="M60" s="12">
        <f>ROUND(L60*Допущения!$C$13,0)</f>
        <v>1075250</v>
      </c>
      <c r="N60" s="11">
        <f t="shared" si="3"/>
        <v>0.297605208091142</v>
      </c>
    </row>
    <row r="61" spans="1:14">
      <c r="A61" s="10" t="s">
        <v>148</v>
      </c>
      <c r="B61" s="9" t="str">
        <f>Инструменты!B7</f>
        <v>ECCO Kids · товарная галерея · Поиск</v>
      </c>
      <c r="C61" s="10" t="str">
        <f>Инструменты!D7</f>
        <v>Поиск</v>
      </c>
      <c r="D61" s="9" t="str">
        <f>Инструменты!E7</f>
        <v>фид + товарные объявления</v>
      </c>
      <c r="E61" s="10" t="str">
        <f>Инструменты!G7</f>
        <v>Максимум конверсий</v>
      </c>
      <c r="F61" s="12">
        <f>Инструменты!I7</f>
        <v>150000</v>
      </c>
      <c r="G61" s="36">
        <f>Инструменты!J7</f>
        <v>0.07</v>
      </c>
      <c r="H61" s="12">
        <f>Инструменты!K7</f>
        <v>44</v>
      </c>
      <c r="I61" s="12">
        <f t="shared" si="0"/>
        <v>48700</v>
      </c>
      <c r="J61" s="12">
        <f t="shared" si="1"/>
        <v>3409</v>
      </c>
      <c r="K61" s="36">
        <f>Инструменты!L7</f>
        <v>0.045</v>
      </c>
      <c r="L61" s="12">
        <f t="shared" si="2"/>
        <v>153</v>
      </c>
      <c r="M61" s="12">
        <f>ROUND(L61*Допущения!$C$13,0)</f>
        <v>650250</v>
      </c>
      <c r="N61" s="11">
        <f t="shared" si="3"/>
        <v>0.230680507497116</v>
      </c>
    </row>
    <row r="62" spans="1:14">
      <c r="A62" s="10" t="s">
        <v>148</v>
      </c>
      <c r="B62" s="9" t="str">
        <f>Инструменты!B8</f>
        <v>ECCO Kids · интересы и ретаргетинг · РСЯ</v>
      </c>
      <c r="C62" s="10" t="str">
        <f>Инструменты!D8</f>
        <v>РСЯ</v>
      </c>
      <c r="D62" s="9" t="str">
        <f>Инструменты!E8</f>
        <v>интересы (kids/fashion/родители) + ретаргетинг визитов/корзины</v>
      </c>
      <c r="E62" s="10" t="str">
        <f>Инструменты!G8</f>
        <v>Максимум конверсий</v>
      </c>
      <c r="F62" s="12">
        <f>Инструменты!I8</f>
        <v>200000</v>
      </c>
      <c r="G62" s="36">
        <f>Инструменты!J8</f>
        <v>0.008</v>
      </c>
      <c r="H62" s="12">
        <f>Инструменты!K8</f>
        <v>11</v>
      </c>
      <c r="I62" s="12">
        <f t="shared" si="0"/>
        <v>2272750</v>
      </c>
      <c r="J62" s="12">
        <f t="shared" si="1"/>
        <v>18182</v>
      </c>
      <c r="K62" s="36">
        <f>Инструменты!L8</f>
        <v>0.025</v>
      </c>
      <c r="L62" s="12">
        <f t="shared" si="2"/>
        <v>455</v>
      </c>
      <c r="M62" s="12">
        <f>ROUND(L62*Допущения!$C$13,0)</f>
        <v>1933750</v>
      </c>
      <c r="N62" s="11">
        <f t="shared" si="3"/>
        <v>0.103425985778927</v>
      </c>
    </row>
    <row r="63" spans="1:14">
      <c r="A63" s="10" t="s">
        <v>148</v>
      </c>
      <c r="B63" s="9" t="str">
        <f>Инструменты!B9</f>
        <v>ECCO Kids · автотаргетинг · РСЯ</v>
      </c>
      <c r="C63" s="10" t="str">
        <f>Инструменты!D9</f>
        <v>РСЯ</v>
      </c>
      <c r="D63" s="9" t="str">
        <f>Инструменты!E9</f>
        <v>автотаргетинг</v>
      </c>
      <c r="E63" s="10" t="str">
        <f>Инструменты!G9</f>
        <v>Максимум кликов</v>
      </c>
      <c r="F63" s="12">
        <f>Инструменты!I9</f>
        <v>100000</v>
      </c>
      <c r="G63" s="36">
        <f>Инструменты!J9</f>
        <v>0.008</v>
      </c>
      <c r="H63" s="12">
        <f>Инструменты!K9</f>
        <v>11</v>
      </c>
      <c r="I63" s="12">
        <f t="shared" si="0"/>
        <v>1136375</v>
      </c>
      <c r="J63" s="12">
        <f t="shared" si="1"/>
        <v>9091</v>
      </c>
      <c r="K63" s="36">
        <f>Инструменты!L9</f>
        <v>0.015</v>
      </c>
      <c r="L63" s="12">
        <f t="shared" si="2"/>
        <v>136</v>
      </c>
      <c r="M63" s="12">
        <f>ROUND(L63*Допущения!$C$13,0)</f>
        <v>578000</v>
      </c>
      <c r="N63" s="11">
        <f t="shared" si="3"/>
        <v>0.173010380622837</v>
      </c>
    </row>
    <row r="64" spans="1:14">
      <c r="A64" s="10" t="s">
        <v>148</v>
      </c>
      <c r="B64" s="9" t="str">
        <f>Инструменты!B10</f>
        <v>ECCO Kids · защита бренда · РСЯ</v>
      </c>
      <c r="C64" s="10" t="str">
        <f>Инструменты!D10</f>
        <v>РСЯ</v>
      </c>
      <c r="D64" s="9" t="str">
        <f>Инструменты!E10</f>
        <v>бренд в сетях</v>
      </c>
      <c r="E64" s="10" t="str">
        <f>Инструменты!G10</f>
        <v>Максимум конверсий</v>
      </c>
      <c r="F64" s="12">
        <f>Инструменты!I10</f>
        <v>50000</v>
      </c>
      <c r="G64" s="36">
        <f>Инструменты!J10</f>
        <v>0.008</v>
      </c>
      <c r="H64" s="12">
        <f>Инструменты!K10</f>
        <v>11</v>
      </c>
      <c r="I64" s="12">
        <f t="shared" si="0"/>
        <v>568125</v>
      </c>
      <c r="J64" s="12">
        <f t="shared" si="1"/>
        <v>4545</v>
      </c>
      <c r="K64" s="36">
        <f>Инструменты!L10</f>
        <v>0.025</v>
      </c>
      <c r="L64" s="12">
        <f t="shared" si="2"/>
        <v>114</v>
      </c>
      <c r="M64" s="12">
        <f>ROUND(L64*Допущения!$C$13,0)</f>
        <v>484500</v>
      </c>
      <c r="N64" s="11">
        <f t="shared" si="3"/>
        <v>0.103199174406605</v>
      </c>
    </row>
    <row r="65" spans="1:14">
      <c r="A65" s="31" t="s">
        <v>149</v>
      </c>
      <c r="B65" s="32" t="str">
        <f>Инструменты!B5</f>
        <v>ECCO Kids · бренд · Поиск</v>
      </c>
      <c r="C65" s="31" t="str">
        <f>Инструменты!D5</f>
        <v>Поиск</v>
      </c>
      <c r="D65" s="32" t="str">
        <f>Инструменты!E5</f>
        <v>ключи бренд / бренд+товар</v>
      </c>
      <c r="E65" s="31" t="str">
        <f>Инструменты!G5</f>
        <v>Максимум конверсий</v>
      </c>
      <c r="F65" s="33">
        <f>Инструменты!I5</f>
        <v>180000</v>
      </c>
      <c r="G65" s="34">
        <f>Инструменты!J5</f>
        <v>0.1</v>
      </c>
      <c r="H65" s="33">
        <f>Инструменты!K5</f>
        <v>28</v>
      </c>
      <c r="I65" s="33">
        <f t="shared" si="0"/>
        <v>64290</v>
      </c>
      <c r="J65" s="33">
        <f t="shared" si="1"/>
        <v>6429</v>
      </c>
      <c r="K65" s="34">
        <f>Инструменты!L5</f>
        <v>0.065</v>
      </c>
      <c r="L65" s="33">
        <f t="shared" si="2"/>
        <v>418</v>
      </c>
      <c r="M65" s="33">
        <f>ROUND(L65*Допущения!$C$13,0)</f>
        <v>1776500</v>
      </c>
      <c r="N65" s="35">
        <f t="shared" si="3"/>
        <v>0.10132282578103</v>
      </c>
    </row>
    <row r="66" spans="1:14">
      <c r="A66" s="31" t="s">
        <v>149</v>
      </c>
      <c r="B66" s="32" t="str">
        <f>Инструменты!B6</f>
        <v>ECCO Kids · категория boys · Поиск</v>
      </c>
      <c r="C66" s="31" t="str">
        <f>Инструменты!D6</f>
        <v>Поиск</v>
      </c>
      <c r="D66" s="32" t="str">
        <f>Инструменты!E6</f>
        <v>ключи категория kids/boys/кроссовки</v>
      </c>
      <c r="E66" s="31" t="str">
        <f>Инструменты!G6</f>
        <v>Максимум конверсий</v>
      </c>
      <c r="F66" s="33">
        <f>Инструменты!I6</f>
        <v>320000</v>
      </c>
      <c r="G66" s="34">
        <f>Инструменты!J6</f>
        <v>0.045</v>
      </c>
      <c r="H66" s="33">
        <f>Инструменты!K6</f>
        <v>48</v>
      </c>
      <c r="I66" s="33">
        <f t="shared" si="0"/>
        <v>148156</v>
      </c>
      <c r="J66" s="33">
        <f t="shared" si="1"/>
        <v>6667</v>
      </c>
      <c r="K66" s="34">
        <f>Инструменты!L6</f>
        <v>0.038</v>
      </c>
      <c r="L66" s="33">
        <f t="shared" si="2"/>
        <v>253</v>
      </c>
      <c r="M66" s="33">
        <f>ROUND(L66*Допущения!$C$13,0)</f>
        <v>1075250</v>
      </c>
      <c r="N66" s="35">
        <f t="shared" si="3"/>
        <v>0.297605208091142</v>
      </c>
    </row>
    <row r="67" spans="1:14">
      <c r="A67" s="31" t="s">
        <v>149</v>
      </c>
      <c r="B67" s="32" t="str">
        <f>Инструменты!B7</f>
        <v>ECCO Kids · товарная галерея · Поиск</v>
      </c>
      <c r="C67" s="31" t="str">
        <f>Инструменты!D7</f>
        <v>Поиск</v>
      </c>
      <c r="D67" s="32" t="str">
        <f>Инструменты!E7</f>
        <v>фид + товарные объявления</v>
      </c>
      <c r="E67" s="31" t="str">
        <f>Инструменты!G7</f>
        <v>Максимум конверсий</v>
      </c>
      <c r="F67" s="33">
        <f>Инструменты!I7</f>
        <v>150000</v>
      </c>
      <c r="G67" s="34">
        <f>Инструменты!J7</f>
        <v>0.07</v>
      </c>
      <c r="H67" s="33">
        <f>Инструменты!K7</f>
        <v>44</v>
      </c>
      <c r="I67" s="33">
        <f t="shared" si="0"/>
        <v>48700</v>
      </c>
      <c r="J67" s="33">
        <f t="shared" si="1"/>
        <v>3409</v>
      </c>
      <c r="K67" s="34">
        <f>Инструменты!L7</f>
        <v>0.045</v>
      </c>
      <c r="L67" s="33">
        <f t="shared" si="2"/>
        <v>153</v>
      </c>
      <c r="M67" s="33">
        <f>ROUND(L67*Допущения!$C$13,0)</f>
        <v>650250</v>
      </c>
      <c r="N67" s="35">
        <f t="shared" si="3"/>
        <v>0.230680507497116</v>
      </c>
    </row>
    <row r="68" spans="1:14">
      <c r="A68" s="31" t="s">
        <v>149</v>
      </c>
      <c r="B68" s="32" t="str">
        <f>Инструменты!B8</f>
        <v>ECCO Kids · интересы и ретаргетинг · РСЯ</v>
      </c>
      <c r="C68" s="31" t="str">
        <f>Инструменты!D8</f>
        <v>РСЯ</v>
      </c>
      <c r="D68" s="32" t="str">
        <f>Инструменты!E8</f>
        <v>интересы (kids/fashion/родители) + ретаргетинг визитов/корзины</v>
      </c>
      <c r="E68" s="31" t="str">
        <f>Инструменты!G8</f>
        <v>Максимум конверсий</v>
      </c>
      <c r="F68" s="33">
        <f>Инструменты!I8</f>
        <v>200000</v>
      </c>
      <c r="G68" s="34">
        <f>Инструменты!J8</f>
        <v>0.008</v>
      </c>
      <c r="H68" s="33">
        <f>Инструменты!K8</f>
        <v>11</v>
      </c>
      <c r="I68" s="33">
        <f t="shared" si="0"/>
        <v>2272750</v>
      </c>
      <c r="J68" s="33">
        <f t="shared" si="1"/>
        <v>18182</v>
      </c>
      <c r="K68" s="34">
        <f>Инструменты!L8</f>
        <v>0.025</v>
      </c>
      <c r="L68" s="33">
        <f t="shared" si="2"/>
        <v>455</v>
      </c>
      <c r="M68" s="33">
        <f>ROUND(L68*Допущения!$C$13,0)</f>
        <v>1933750</v>
      </c>
      <c r="N68" s="35">
        <f t="shared" si="3"/>
        <v>0.103425985778927</v>
      </c>
    </row>
    <row r="69" spans="1:14">
      <c r="A69" s="31" t="s">
        <v>149</v>
      </c>
      <c r="B69" s="32" t="str">
        <f>Инструменты!B9</f>
        <v>ECCO Kids · автотаргетинг · РСЯ</v>
      </c>
      <c r="C69" s="31" t="str">
        <f>Инструменты!D9</f>
        <v>РСЯ</v>
      </c>
      <c r="D69" s="32" t="str">
        <f>Инструменты!E9</f>
        <v>автотаргетинг</v>
      </c>
      <c r="E69" s="31" t="str">
        <f>Инструменты!G9</f>
        <v>Максимум кликов</v>
      </c>
      <c r="F69" s="33">
        <f>Инструменты!I9</f>
        <v>100000</v>
      </c>
      <c r="G69" s="34">
        <f>Инструменты!J9</f>
        <v>0.008</v>
      </c>
      <c r="H69" s="33">
        <f>Инструменты!K9</f>
        <v>11</v>
      </c>
      <c r="I69" s="33">
        <f t="shared" ref="I69:I76" si="4">IF(G69=0,0,ROUND(J69/G69,0))</f>
        <v>1136375</v>
      </c>
      <c r="J69" s="33">
        <f t="shared" ref="J69:J76" si="5">IF(H69=0,0,ROUND(F69/H69,0))</f>
        <v>9091</v>
      </c>
      <c r="K69" s="34">
        <f>Инструменты!L9</f>
        <v>0.015</v>
      </c>
      <c r="L69" s="33">
        <f t="shared" ref="L69:L76" si="6">ROUND(J69*K69,0)</f>
        <v>136</v>
      </c>
      <c r="M69" s="33">
        <f>ROUND(L69*Допущения!$C$13,0)</f>
        <v>578000</v>
      </c>
      <c r="N69" s="35">
        <f t="shared" ref="N69:N77" si="7">IF(M69=0,0,F69/M69)</f>
        <v>0.173010380622837</v>
      </c>
    </row>
    <row r="70" spans="1:14">
      <c r="A70" s="31" t="s">
        <v>149</v>
      </c>
      <c r="B70" s="32" t="str">
        <f>Инструменты!B10</f>
        <v>ECCO Kids · защита бренда · РСЯ</v>
      </c>
      <c r="C70" s="31" t="str">
        <f>Инструменты!D10</f>
        <v>РСЯ</v>
      </c>
      <c r="D70" s="32" t="str">
        <f>Инструменты!E10</f>
        <v>бренд в сетях</v>
      </c>
      <c r="E70" s="31" t="str">
        <f>Инструменты!G10</f>
        <v>Максимум конверсий</v>
      </c>
      <c r="F70" s="33">
        <f>Инструменты!I10</f>
        <v>50000</v>
      </c>
      <c r="G70" s="34">
        <f>Инструменты!J10</f>
        <v>0.008</v>
      </c>
      <c r="H70" s="33">
        <f>Инструменты!K10</f>
        <v>11</v>
      </c>
      <c r="I70" s="33">
        <f t="shared" si="4"/>
        <v>568125</v>
      </c>
      <c r="J70" s="33">
        <f t="shared" si="5"/>
        <v>4545</v>
      </c>
      <c r="K70" s="34">
        <f>Инструменты!L10</f>
        <v>0.025</v>
      </c>
      <c r="L70" s="33">
        <f t="shared" si="6"/>
        <v>114</v>
      </c>
      <c r="M70" s="33">
        <f>ROUND(L70*Допущения!$C$13,0)</f>
        <v>484500</v>
      </c>
      <c r="N70" s="35">
        <f t="shared" si="7"/>
        <v>0.103199174406605</v>
      </c>
    </row>
    <row r="71" spans="1:14">
      <c r="A71" s="10" t="s">
        <v>150</v>
      </c>
      <c r="B71" s="9" t="str">
        <f>Инструменты!B5</f>
        <v>ECCO Kids · бренд · Поиск</v>
      </c>
      <c r="C71" s="10" t="str">
        <f>Инструменты!D5</f>
        <v>Поиск</v>
      </c>
      <c r="D71" s="9" t="str">
        <f>Инструменты!E5</f>
        <v>ключи бренд / бренд+товар</v>
      </c>
      <c r="E71" s="10" t="str">
        <f>Инструменты!G5</f>
        <v>Максимум конверсий</v>
      </c>
      <c r="F71" s="12">
        <f>Инструменты!I5</f>
        <v>180000</v>
      </c>
      <c r="G71" s="36">
        <f>Инструменты!J5</f>
        <v>0.1</v>
      </c>
      <c r="H71" s="12">
        <f>Инструменты!K5</f>
        <v>28</v>
      </c>
      <c r="I71" s="12">
        <f t="shared" si="4"/>
        <v>64290</v>
      </c>
      <c r="J71" s="12">
        <f t="shared" si="5"/>
        <v>6429</v>
      </c>
      <c r="K71" s="36">
        <f>Инструменты!L5</f>
        <v>0.065</v>
      </c>
      <c r="L71" s="12">
        <f t="shared" si="6"/>
        <v>418</v>
      </c>
      <c r="M71" s="12">
        <f>ROUND(L71*Допущения!$C$13,0)</f>
        <v>1776500</v>
      </c>
      <c r="N71" s="11">
        <f t="shared" si="7"/>
        <v>0.10132282578103</v>
      </c>
    </row>
    <row r="72" spans="1:14">
      <c r="A72" s="10" t="s">
        <v>150</v>
      </c>
      <c r="B72" s="9" t="str">
        <f>Инструменты!B6</f>
        <v>ECCO Kids · категория boys · Поиск</v>
      </c>
      <c r="C72" s="10" t="str">
        <f>Инструменты!D6</f>
        <v>Поиск</v>
      </c>
      <c r="D72" s="9" t="str">
        <f>Инструменты!E6</f>
        <v>ключи категория kids/boys/кроссовки</v>
      </c>
      <c r="E72" s="10" t="str">
        <f>Инструменты!G6</f>
        <v>Максимум конверсий</v>
      </c>
      <c r="F72" s="12">
        <f>Инструменты!I6</f>
        <v>320000</v>
      </c>
      <c r="G72" s="36">
        <f>Инструменты!J6</f>
        <v>0.045</v>
      </c>
      <c r="H72" s="12">
        <f>Инструменты!K6</f>
        <v>48</v>
      </c>
      <c r="I72" s="12">
        <f t="shared" si="4"/>
        <v>148156</v>
      </c>
      <c r="J72" s="12">
        <f t="shared" si="5"/>
        <v>6667</v>
      </c>
      <c r="K72" s="36">
        <f>Инструменты!L6</f>
        <v>0.038</v>
      </c>
      <c r="L72" s="12">
        <f t="shared" si="6"/>
        <v>253</v>
      </c>
      <c r="M72" s="12">
        <f>ROUND(L72*Допущения!$C$13,0)</f>
        <v>1075250</v>
      </c>
      <c r="N72" s="11">
        <f t="shared" si="7"/>
        <v>0.297605208091142</v>
      </c>
    </row>
    <row r="73" spans="1:14">
      <c r="A73" s="10" t="s">
        <v>150</v>
      </c>
      <c r="B73" s="9" t="str">
        <f>Инструменты!B7</f>
        <v>ECCO Kids · товарная галерея · Поиск</v>
      </c>
      <c r="C73" s="10" t="str">
        <f>Инструменты!D7</f>
        <v>Поиск</v>
      </c>
      <c r="D73" s="9" t="str">
        <f>Инструменты!E7</f>
        <v>фид + товарные объявления</v>
      </c>
      <c r="E73" s="10" t="str">
        <f>Инструменты!G7</f>
        <v>Максимум конверсий</v>
      </c>
      <c r="F73" s="12">
        <f>Инструменты!I7</f>
        <v>150000</v>
      </c>
      <c r="G73" s="36">
        <f>Инструменты!J7</f>
        <v>0.07</v>
      </c>
      <c r="H73" s="12">
        <f>Инструменты!K7</f>
        <v>44</v>
      </c>
      <c r="I73" s="12">
        <f t="shared" si="4"/>
        <v>48700</v>
      </c>
      <c r="J73" s="12">
        <f t="shared" si="5"/>
        <v>3409</v>
      </c>
      <c r="K73" s="36">
        <f>Инструменты!L7</f>
        <v>0.045</v>
      </c>
      <c r="L73" s="12">
        <f t="shared" si="6"/>
        <v>153</v>
      </c>
      <c r="M73" s="12">
        <f>ROUND(L73*Допущения!$C$13,0)</f>
        <v>650250</v>
      </c>
      <c r="N73" s="11">
        <f t="shared" si="7"/>
        <v>0.230680507497116</v>
      </c>
    </row>
    <row r="74" spans="1:14">
      <c r="A74" s="10" t="s">
        <v>150</v>
      </c>
      <c r="B74" s="9" t="str">
        <f>Инструменты!B8</f>
        <v>ECCO Kids · интересы и ретаргетинг · РСЯ</v>
      </c>
      <c r="C74" s="10" t="str">
        <f>Инструменты!D8</f>
        <v>РСЯ</v>
      </c>
      <c r="D74" s="9" t="str">
        <f>Инструменты!E8</f>
        <v>интересы (kids/fashion/родители) + ретаргетинг визитов/корзины</v>
      </c>
      <c r="E74" s="10" t="str">
        <f>Инструменты!G8</f>
        <v>Максимум конверсий</v>
      </c>
      <c r="F74" s="12">
        <f>Инструменты!I8</f>
        <v>200000</v>
      </c>
      <c r="G74" s="36">
        <f>Инструменты!J8</f>
        <v>0.008</v>
      </c>
      <c r="H74" s="12">
        <f>Инструменты!K8</f>
        <v>11</v>
      </c>
      <c r="I74" s="12">
        <f t="shared" si="4"/>
        <v>2272750</v>
      </c>
      <c r="J74" s="12">
        <f t="shared" si="5"/>
        <v>18182</v>
      </c>
      <c r="K74" s="36">
        <f>Инструменты!L8</f>
        <v>0.025</v>
      </c>
      <c r="L74" s="12">
        <f t="shared" si="6"/>
        <v>455</v>
      </c>
      <c r="M74" s="12">
        <f>ROUND(L74*Допущения!$C$13,0)</f>
        <v>1933750</v>
      </c>
      <c r="N74" s="11">
        <f t="shared" si="7"/>
        <v>0.103425985778927</v>
      </c>
    </row>
    <row r="75" spans="1:14">
      <c r="A75" s="10" t="s">
        <v>150</v>
      </c>
      <c r="B75" s="9" t="str">
        <f>Инструменты!B9</f>
        <v>ECCO Kids · автотаргетинг · РСЯ</v>
      </c>
      <c r="C75" s="10" t="str">
        <f>Инструменты!D9</f>
        <v>РСЯ</v>
      </c>
      <c r="D75" s="9" t="str">
        <f>Инструменты!E9</f>
        <v>автотаргетинг</v>
      </c>
      <c r="E75" s="10" t="str">
        <f>Инструменты!G9</f>
        <v>Максимум кликов</v>
      </c>
      <c r="F75" s="12">
        <f>Инструменты!I9</f>
        <v>100000</v>
      </c>
      <c r="G75" s="36">
        <f>Инструменты!J9</f>
        <v>0.008</v>
      </c>
      <c r="H75" s="12">
        <f>Инструменты!K9</f>
        <v>11</v>
      </c>
      <c r="I75" s="12">
        <f t="shared" si="4"/>
        <v>1136375</v>
      </c>
      <c r="J75" s="12">
        <f t="shared" si="5"/>
        <v>9091</v>
      </c>
      <c r="K75" s="36">
        <f>Инструменты!L9</f>
        <v>0.015</v>
      </c>
      <c r="L75" s="12">
        <f t="shared" si="6"/>
        <v>136</v>
      </c>
      <c r="M75" s="12">
        <f>ROUND(L75*Допущения!$C$13,0)</f>
        <v>578000</v>
      </c>
      <c r="N75" s="11">
        <f t="shared" si="7"/>
        <v>0.173010380622837</v>
      </c>
    </row>
    <row r="76" spans="1:14">
      <c r="A76" s="10" t="s">
        <v>150</v>
      </c>
      <c r="B76" s="9" t="str">
        <f>Инструменты!B10</f>
        <v>ECCO Kids · защита бренда · РСЯ</v>
      </c>
      <c r="C76" s="10" t="str">
        <f>Инструменты!D10</f>
        <v>РСЯ</v>
      </c>
      <c r="D76" s="9" t="str">
        <f>Инструменты!E10</f>
        <v>бренд в сетях</v>
      </c>
      <c r="E76" s="10" t="str">
        <f>Инструменты!G10</f>
        <v>Максимум конверсий</v>
      </c>
      <c r="F76" s="12">
        <f>Инструменты!I10</f>
        <v>50000</v>
      </c>
      <c r="G76" s="36">
        <f>Инструменты!J10</f>
        <v>0.008</v>
      </c>
      <c r="H76" s="12">
        <f>Инструменты!K10</f>
        <v>11</v>
      </c>
      <c r="I76" s="12">
        <f t="shared" si="4"/>
        <v>568125</v>
      </c>
      <c r="J76" s="12">
        <f t="shared" si="5"/>
        <v>4545</v>
      </c>
      <c r="K76" s="36">
        <f>Инструменты!L10</f>
        <v>0.025</v>
      </c>
      <c r="L76" s="12">
        <f t="shared" si="6"/>
        <v>114</v>
      </c>
      <c r="M76" s="12">
        <f>ROUND(L76*Допущения!$C$13,0)</f>
        <v>484500</v>
      </c>
      <c r="N76" s="11">
        <f t="shared" si="7"/>
        <v>0.103199174406605</v>
      </c>
    </row>
    <row r="77" spans="1:14">
      <c r="A77" s="14" t="s">
        <v>119</v>
      </c>
      <c r="B77" s="14" t="s">
        <v>151</v>
      </c>
      <c r="C77" s="14"/>
      <c r="D77" s="14"/>
      <c r="E77" s="14"/>
      <c r="F77" s="16">
        <f>SUM(F5:F76)</f>
        <v>12000000</v>
      </c>
      <c r="G77" s="14"/>
      <c r="H77" s="14"/>
      <c r="I77" s="16">
        <f>SUM(I5:I76)</f>
        <v>50860752</v>
      </c>
      <c r="J77" s="16">
        <f>SUM(J5:J76)</f>
        <v>579876</v>
      </c>
      <c r="K77" s="14"/>
      <c r="L77" s="16">
        <f>SUM(L5:L76)</f>
        <v>18348</v>
      </c>
      <c r="M77" s="16">
        <f>SUM(M5:M76)</f>
        <v>77979000</v>
      </c>
      <c r="N77" s="15">
        <f t="shared" si="7"/>
        <v>0.153887585119071</v>
      </c>
    </row>
    <row r="79" ht="15.75" spans="1:14">
      <c r="A79" s="21" t="s">
        <v>83</v>
      </c>
    </row>
    <row r="80" ht="80" customHeight="1" spans="1:14">
      <c r="A80" s="22" t="s">
        <v>152</v>
      </c>
    </row>
    <row r="81" ht="24" customHeight="1"/>
  </sheetData>
  <autoFilter xmlns:etc="http://www.wps.cn/officeDocument/2017/etCustomData" ref="A4:N77" etc:filterBottomFollowUsedRange="0">
    <extLst/>
  </autoFilter>
  <mergeCells count="4">
    <mergeCell ref="A1:N1"/>
    <mergeCell ref="A2:N2"/>
    <mergeCell ref="A79:N79"/>
    <mergeCell ref="A80:N81"/>
  </mergeCells>
  <conditionalFormatting sqref="N5:N76">
    <cfRule type="colorScale" priority="1">
      <colorScale>
        <cfvo type="num" val="0.12"/>
        <cfvo type="num" val="0.18"/>
        <cfvo type="num" val="0.28"/>
        <color rgb="FF27AE60"/>
        <color rgb="FFF7DC6F"/>
        <color rgb="FFE74C3C"/>
      </colorScale>
    </cfRule>
  </conditionalFormatting>
  <pageMargins left="0.75" right="0.75" top="1" bottom="1" header="0.5" footer="0.5"/>
  <pageSetup paperSize="9" orientation="landscape"/>
  <headerFooter>
    <oddHeader>&amp;C&amp;B ECCO Kids · медиаплан Директ</oddHeader>
    <oddFooter>&amp;L&amp;D&amp;Rстр.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44AD"/>
    <pageSetUpPr fitToPage="1"/>
  </sheetPr>
  <dimension ref="A1:H21"/>
  <sheetViews>
    <sheetView showGridLines="0" workbookViewId="0">
      <pane ySplit="4" topLeftCell="A5" activePane="bottomLeft" state="frozen"/>
      <selection/>
      <selection pane="bottomLeft" activeCell="A1" sqref="A1:H1"/>
    </sheetView>
  </sheetViews>
  <sheetFormatPr defaultColWidth="9" defaultRowHeight="15" outlineLevelCol="7"/>
  <cols>
    <col min="1" max="3" width="14" customWidth="1"/>
    <col min="4" max="5" width="12" customWidth="1"/>
    <col min="6" max="6" width="14" customWidth="1"/>
    <col min="7" max="7" width="10" customWidth="1"/>
    <col min="8" max="8" width="12" customWidth="1"/>
  </cols>
  <sheetData>
    <row r="1" ht="21" spans="1:8">
      <c r="A1" s="1" t="s">
        <v>153</v>
      </c>
    </row>
    <row r="2" spans="1:8">
      <c r="A2" s="2" t="s">
        <v>154</v>
      </c>
    </row>
    <row r="4" spans="1:8">
      <c r="A4" s="3" t="s">
        <v>131</v>
      </c>
      <c r="B4" s="3" t="s">
        <v>155</v>
      </c>
      <c r="C4" s="3" t="s">
        <v>133</v>
      </c>
      <c r="D4" s="3" t="s">
        <v>134</v>
      </c>
      <c r="E4" s="3" t="s">
        <v>136</v>
      </c>
      <c r="F4" s="3" t="s">
        <v>137</v>
      </c>
      <c r="G4" s="3" t="s">
        <v>138</v>
      </c>
      <c r="H4" s="3" t="s">
        <v>156</v>
      </c>
    </row>
    <row r="5" spans="1:8">
      <c r="A5" s="23" t="s">
        <v>139</v>
      </c>
      <c r="B5" s="24">
        <f>SUMIF('Медиаплан на год'!A:A,A5,'Медиаплан на год'!F:F)</f>
        <v>1000000</v>
      </c>
      <c r="C5" s="24">
        <f>SUMIF('Медиаплан на год'!A:A,A5,'Медиаплан на год'!I:I)</f>
        <v>4238396</v>
      </c>
      <c r="D5" s="24">
        <f>SUMIF('Медиаплан на год'!A:A,A5,'Медиаплан на год'!J:J)</f>
        <v>48323</v>
      </c>
      <c r="E5" s="24">
        <f>SUMIF('Медиаплан на год'!A:A,A5,'Медиаплан на год'!L:L)</f>
        <v>1529</v>
      </c>
      <c r="F5" s="24">
        <f>SUMIF('Медиаплан на год'!A:A,A5,'Медиаплан на год'!M:M)</f>
        <v>6498250</v>
      </c>
      <c r="G5" s="25">
        <f t="shared" ref="G5:G17" si="0">IF(F5=0,0,B5/F5)</f>
        <v>0.153887585119071</v>
      </c>
      <c r="H5" s="26">
        <f t="shared" ref="H5:H17" si="1">IF(E5=0,0,B5/E5)</f>
        <v>654.02223675605</v>
      </c>
    </row>
    <row r="6" spans="1:8">
      <c r="A6" s="27" t="s">
        <v>140</v>
      </c>
      <c r="B6" s="28">
        <f>SUMIF('Медиаплан на год'!A:A,A6,'Медиаплан на год'!F:F)</f>
        <v>1000000</v>
      </c>
      <c r="C6" s="28">
        <f>SUMIF('Медиаплан на год'!A:A,A6,'Медиаплан на год'!I:I)</f>
        <v>4238396</v>
      </c>
      <c r="D6" s="28">
        <f>SUMIF('Медиаплан на год'!A:A,A6,'Медиаплан на год'!J:J)</f>
        <v>48323</v>
      </c>
      <c r="E6" s="28">
        <f>SUMIF('Медиаплан на год'!A:A,A6,'Медиаплан на год'!L:L)</f>
        <v>1529</v>
      </c>
      <c r="F6" s="28">
        <f>SUMIF('Медиаплан на год'!A:A,A6,'Медиаплан на год'!M:M)</f>
        <v>6498250</v>
      </c>
      <c r="G6" s="29">
        <f t="shared" si="0"/>
        <v>0.153887585119071</v>
      </c>
      <c r="H6" s="30">
        <f t="shared" si="1"/>
        <v>654.02223675605</v>
      </c>
    </row>
    <row r="7" spans="1:8">
      <c r="A7" s="23" t="s">
        <v>141</v>
      </c>
      <c r="B7" s="24">
        <f>SUMIF('Медиаплан на год'!A:A,A7,'Медиаплан на год'!F:F)</f>
        <v>1000000</v>
      </c>
      <c r="C7" s="24">
        <f>SUMIF('Медиаплан на год'!A:A,A7,'Медиаплан на год'!I:I)</f>
        <v>4238396</v>
      </c>
      <c r="D7" s="24">
        <f>SUMIF('Медиаплан на год'!A:A,A7,'Медиаплан на год'!J:J)</f>
        <v>48323</v>
      </c>
      <c r="E7" s="24">
        <f>SUMIF('Медиаплан на год'!A:A,A7,'Медиаплан на год'!L:L)</f>
        <v>1529</v>
      </c>
      <c r="F7" s="24">
        <f>SUMIF('Медиаплан на год'!A:A,A7,'Медиаплан на год'!M:M)</f>
        <v>6498250</v>
      </c>
      <c r="G7" s="25">
        <f t="shared" si="0"/>
        <v>0.153887585119071</v>
      </c>
      <c r="H7" s="26">
        <f t="shared" si="1"/>
        <v>654.02223675605</v>
      </c>
    </row>
    <row r="8" spans="1:8">
      <c r="A8" s="27" t="s">
        <v>142</v>
      </c>
      <c r="B8" s="28">
        <f>SUMIF('Медиаплан на год'!A:A,A8,'Медиаплан на год'!F:F)</f>
        <v>1000000</v>
      </c>
      <c r="C8" s="28">
        <f>SUMIF('Медиаплан на год'!A:A,A8,'Медиаплан на год'!I:I)</f>
        <v>4238396</v>
      </c>
      <c r="D8" s="28">
        <f>SUMIF('Медиаплан на год'!A:A,A8,'Медиаплан на год'!J:J)</f>
        <v>48323</v>
      </c>
      <c r="E8" s="28">
        <f>SUMIF('Медиаплан на год'!A:A,A8,'Медиаплан на год'!L:L)</f>
        <v>1529</v>
      </c>
      <c r="F8" s="28">
        <f>SUMIF('Медиаплан на год'!A:A,A8,'Медиаплан на год'!M:M)</f>
        <v>6498250</v>
      </c>
      <c r="G8" s="29">
        <f t="shared" si="0"/>
        <v>0.153887585119071</v>
      </c>
      <c r="H8" s="30">
        <f t="shared" si="1"/>
        <v>654.02223675605</v>
      </c>
    </row>
    <row r="9" spans="1:8">
      <c r="A9" s="23" t="s">
        <v>143</v>
      </c>
      <c r="B9" s="24">
        <f>SUMIF('Медиаплан на год'!A:A,A9,'Медиаплан на год'!F:F)</f>
        <v>1000000</v>
      </c>
      <c r="C9" s="24">
        <f>SUMIF('Медиаплан на год'!A:A,A9,'Медиаплан на год'!I:I)</f>
        <v>4238396</v>
      </c>
      <c r="D9" s="24">
        <f>SUMIF('Медиаплан на год'!A:A,A9,'Медиаплан на год'!J:J)</f>
        <v>48323</v>
      </c>
      <c r="E9" s="24">
        <f>SUMIF('Медиаплан на год'!A:A,A9,'Медиаплан на год'!L:L)</f>
        <v>1529</v>
      </c>
      <c r="F9" s="24">
        <f>SUMIF('Медиаплан на год'!A:A,A9,'Медиаплан на год'!M:M)</f>
        <v>6498250</v>
      </c>
      <c r="G9" s="25">
        <f t="shared" si="0"/>
        <v>0.153887585119071</v>
      </c>
      <c r="H9" s="26">
        <f t="shared" si="1"/>
        <v>654.02223675605</v>
      </c>
    </row>
    <row r="10" spans="1:8">
      <c r="A10" s="27" t="s">
        <v>144</v>
      </c>
      <c r="B10" s="28">
        <f>SUMIF('Медиаплан на год'!A:A,A10,'Медиаплан на год'!F:F)</f>
        <v>1000000</v>
      </c>
      <c r="C10" s="28">
        <f>SUMIF('Медиаплан на год'!A:A,A10,'Медиаплан на год'!I:I)</f>
        <v>4238396</v>
      </c>
      <c r="D10" s="28">
        <f>SUMIF('Медиаплан на год'!A:A,A10,'Медиаплан на год'!J:J)</f>
        <v>48323</v>
      </c>
      <c r="E10" s="28">
        <f>SUMIF('Медиаплан на год'!A:A,A10,'Медиаплан на год'!L:L)</f>
        <v>1529</v>
      </c>
      <c r="F10" s="28">
        <f>SUMIF('Медиаплан на год'!A:A,A10,'Медиаплан на год'!M:M)</f>
        <v>6498250</v>
      </c>
      <c r="G10" s="29">
        <f t="shared" si="0"/>
        <v>0.153887585119071</v>
      </c>
      <c r="H10" s="30">
        <f t="shared" si="1"/>
        <v>654.02223675605</v>
      </c>
    </row>
    <row r="11" spans="1:8">
      <c r="A11" s="23" t="s">
        <v>145</v>
      </c>
      <c r="B11" s="24">
        <f>SUMIF('Медиаплан на год'!A:A,A11,'Медиаплан на год'!F:F)</f>
        <v>1000000</v>
      </c>
      <c r="C11" s="24">
        <f>SUMIF('Медиаплан на год'!A:A,A11,'Медиаплан на год'!I:I)</f>
        <v>4238396</v>
      </c>
      <c r="D11" s="24">
        <f>SUMIF('Медиаплан на год'!A:A,A11,'Медиаплан на год'!J:J)</f>
        <v>48323</v>
      </c>
      <c r="E11" s="24">
        <f>SUMIF('Медиаплан на год'!A:A,A11,'Медиаплан на год'!L:L)</f>
        <v>1529</v>
      </c>
      <c r="F11" s="24">
        <f>SUMIF('Медиаплан на год'!A:A,A11,'Медиаплан на год'!M:M)</f>
        <v>6498250</v>
      </c>
      <c r="G11" s="25">
        <f t="shared" si="0"/>
        <v>0.153887585119071</v>
      </c>
      <c r="H11" s="26">
        <f t="shared" si="1"/>
        <v>654.02223675605</v>
      </c>
    </row>
    <row r="12" spans="1:8">
      <c r="A12" s="27" t="s">
        <v>146</v>
      </c>
      <c r="B12" s="28">
        <f>SUMIF('Медиаплан на год'!A:A,A12,'Медиаплан на год'!F:F)</f>
        <v>1000000</v>
      </c>
      <c r="C12" s="28">
        <f>SUMIF('Медиаплан на год'!A:A,A12,'Медиаплан на год'!I:I)</f>
        <v>4238396</v>
      </c>
      <c r="D12" s="28">
        <f>SUMIF('Медиаплан на год'!A:A,A12,'Медиаплан на год'!J:J)</f>
        <v>48323</v>
      </c>
      <c r="E12" s="28">
        <f>SUMIF('Медиаплан на год'!A:A,A12,'Медиаплан на год'!L:L)</f>
        <v>1529</v>
      </c>
      <c r="F12" s="28">
        <f>SUMIF('Медиаплан на год'!A:A,A12,'Медиаплан на год'!M:M)</f>
        <v>6498250</v>
      </c>
      <c r="G12" s="29">
        <f t="shared" si="0"/>
        <v>0.153887585119071</v>
      </c>
      <c r="H12" s="30">
        <f t="shared" si="1"/>
        <v>654.02223675605</v>
      </c>
    </row>
    <row r="13" spans="1:8">
      <c r="A13" s="23" t="s">
        <v>147</v>
      </c>
      <c r="B13" s="24">
        <f>SUMIF('Медиаплан на год'!A:A,A13,'Медиаплан на год'!F:F)</f>
        <v>1000000</v>
      </c>
      <c r="C13" s="24">
        <f>SUMIF('Медиаплан на год'!A:A,A13,'Медиаплан на год'!I:I)</f>
        <v>4238396</v>
      </c>
      <c r="D13" s="24">
        <f>SUMIF('Медиаплан на год'!A:A,A13,'Медиаплан на год'!J:J)</f>
        <v>48323</v>
      </c>
      <c r="E13" s="24">
        <f>SUMIF('Медиаплан на год'!A:A,A13,'Медиаплан на год'!L:L)</f>
        <v>1529</v>
      </c>
      <c r="F13" s="24">
        <f>SUMIF('Медиаплан на год'!A:A,A13,'Медиаплан на год'!M:M)</f>
        <v>6498250</v>
      </c>
      <c r="G13" s="25">
        <f t="shared" si="0"/>
        <v>0.153887585119071</v>
      </c>
      <c r="H13" s="26">
        <f t="shared" si="1"/>
        <v>654.02223675605</v>
      </c>
    </row>
    <row r="14" spans="1:8">
      <c r="A14" s="27" t="s">
        <v>148</v>
      </c>
      <c r="B14" s="28">
        <f>SUMIF('Медиаплан на год'!A:A,A14,'Медиаплан на год'!F:F)</f>
        <v>1000000</v>
      </c>
      <c r="C14" s="28">
        <f>SUMIF('Медиаплан на год'!A:A,A14,'Медиаплан на год'!I:I)</f>
        <v>4238396</v>
      </c>
      <c r="D14" s="28">
        <f>SUMIF('Медиаплан на год'!A:A,A14,'Медиаплан на год'!J:J)</f>
        <v>48323</v>
      </c>
      <c r="E14" s="28">
        <f>SUMIF('Медиаплан на год'!A:A,A14,'Медиаплан на год'!L:L)</f>
        <v>1529</v>
      </c>
      <c r="F14" s="28">
        <f>SUMIF('Медиаплан на год'!A:A,A14,'Медиаплан на год'!M:M)</f>
        <v>6498250</v>
      </c>
      <c r="G14" s="29">
        <f t="shared" si="0"/>
        <v>0.153887585119071</v>
      </c>
      <c r="H14" s="30">
        <f t="shared" si="1"/>
        <v>654.02223675605</v>
      </c>
    </row>
    <row r="15" spans="1:8">
      <c r="A15" s="23" t="s">
        <v>149</v>
      </c>
      <c r="B15" s="24">
        <f>SUMIF('Медиаплан на год'!A:A,A15,'Медиаплан на год'!F:F)</f>
        <v>1000000</v>
      </c>
      <c r="C15" s="24">
        <f>SUMIF('Медиаплан на год'!A:A,A15,'Медиаплан на год'!I:I)</f>
        <v>4238396</v>
      </c>
      <c r="D15" s="24">
        <f>SUMIF('Медиаплан на год'!A:A,A15,'Медиаплан на год'!J:J)</f>
        <v>48323</v>
      </c>
      <c r="E15" s="24">
        <f>SUMIF('Медиаплан на год'!A:A,A15,'Медиаплан на год'!L:L)</f>
        <v>1529</v>
      </c>
      <c r="F15" s="24">
        <f>SUMIF('Медиаплан на год'!A:A,A15,'Медиаплан на год'!M:M)</f>
        <v>6498250</v>
      </c>
      <c r="G15" s="25">
        <f t="shared" si="0"/>
        <v>0.153887585119071</v>
      </c>
      <c r="H15" s="26">
        <f t="shared" si="1"/>
        <v>654.02223675605</v>
      </c>
    </row>
    <row r="16" spans="1:8">
      <c r="A16" s="27" t="s">
        <v>150</v>
      </c>
      <c r="B16" s="28">
        <f>SUMIF('Медиаплан на год'!A:A,A16,'Медиаплан на год'!F:F)</f>
        <v>1000000</v>
      </c>
      <c r="C16" s="28">
        <f>SUMIF('Медиаплан на год'!A:A,A16,'Медиаплан на год'!I:I)</f>
        <v>4238396</v>
      </c>
      <c r="D16" s="28">
        <f>SUMIF('Медиаплан на год'!A:A,A16,'Медиаплан на год'!J:J)</f>
        <v>48323</v>
      </c>
      <c r="E16" s="28">
        <f>SUMIF('Медиаплан на год'!A:A,A16,'Медиаплан на год'!L:L)</f>
        <v>1529</v>
      </c>
      <c r="F16" s="28">
        <f>SUMIF('Медиаплан на год'!A:A,A16,'Медиаплан на год'!M:M)</f>
        <v>6498250</v>
      </c>
      <c r="G16" s="29">
        <f t="shared" si="0"/>
        <v>0.153887585119071</v>
      </c>
      <c r="H16" s="30">
        <f t="shared" si="1"/>
        <v>654.02223675605</v>
      </c>
    </row>
    <row r="17" spans="1:8">
      <c r="A17" s="14" t="s">
        <v>157</v>
      </c>
      <c r="B17" s="16">
        <f>SUM(B5:B16)</f>
        <v>12000000</v>
      </c>
      <c r="C17" s="16">
        <f>SUM(C5:C16)</f>
        <v>50860752</v>
      </c>
      <c r="D17" s="16">
        <f>SUM(D5:D16)</f>
        <v>579876</v>
      </c>
      <c r="E17" s="16">
        <f>SUM(E5:E16)</f>
        <v>18348</v>
      </c>
      <c r="F17" s="16">
        <f>SUM(F5:F16)</f>
        <v>77979000</v>
      </c>
      <c r="G17" s="15">
        <f t="shared" si="0"/>
        <v>0.153887585119071</v>
      </c>
      <c r="H17" s="17">
        <f t="shared" si="1"/>
        <v>654.02223675605</v>
      </c>
    </row>
    <row r="19" ht="15.75" spans="1:8">
      <c r="A19" s="21" t="s">
        <v>83</v>
      </c>
    </row>
    <row r="20" ht="80" customHeight="1" spans="1:8">
      <c r="A20" s="22" t="s">
        <v>158</v>
      </c>
    </row>
    <row r="21" ht="24" customHeight="1"/>
  </sheetData>
  <autoFilter xmlns:etc="http://www.wps.cn/officeDocument/2017/etCustomData" ref="A4:H17" etc:filterBottomFollowUsedRange="0">
    <extLst/>
  </autoFilter>
  <mergeCells count="4">
    <mergeCell ref="A1:H1"/>
    <mergeCell ref="A2:H2"/>
    <mergeCell ref="A19:H19"/>
    <mergeCell ref="A20:H21"/>
  </mergeCells>
  <conditionalFormatting sqref="G5:G16">
    <cfRule type="colorScale" priority="1">
      <colorScale>
        <cfvo type="num" val="0.12"/>
        <cfvo type="num" val="0.18"/>
        <cfvo type="num" val="0.28"/>
        <color rgb="FF27AE60"/>
        <color rgb="FFF7DC6F"/>
        <color rgb="FFE74C3C"/>
      </colorScale>
    </cfRule>
  </conditionalFormatting>
  <pageMargins left="0.75" right="0.75" top="1" bottom="1" header="0.5" footer="0.5"/>
  <pageSetup paperSize="1" orientation="landscape"/>
  <headerFooter>
    <oddHeader>&amp;C&amp;B ECCO Kids · медиаплан Директ</oddHeader>
    <oddFooter>&amp;L&amp;D&amp;Rстр.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392B"/>
    <pageSetUpPr fitToPage="1"/>
  </sheetPr>
  <dimension ref="A1:K20"/>
  <sheetViews>
    <sheetView showGridLines="0" workbookViewId="0">
      <pane ySplit="4" topLeftCell="A5" activePane="bottomLeft" state="frozen"/>
      <selection/>
      <selection pane="bottomLeft" activeCell="A1" sqref="A1:K1"/>
    </sheetView>
  </sheetViews>
  <sheetFormatPr defaultColWidth="9" defaultRowHeight="15"/>
  <cols>
    <col min="1" max="1" width="34" customWidth="1"/>
    <col min="2" max="2" width="14" customWidth="1"/>
    <col min="3" max="3" width="28" customWidth="1"/>
    <col min="4" max="4" width="12" customWidth="1"/>
    <col min="5" max="5" width="16" customWidth="1"/>
    <col min="6" max="7" width="14" customWidth="1"/>
    <col min="8" max="8" width="16" customWidth="1"/>
    <col min="9" max="9" width="10" customWidth="1"/>
    <col min="10" max="10" width="12" customWidth="1"/>
    <col min="11" max="11" width="16" customWidth="1"/>
  </cols>
  <sheetData>
    <row r="1" ht="21" spans="1:11">
      <c r="A1" s="1" t="s">
        <v>159</v>
      </c>
    </row>
    <row r="2" spans="1:11">
      <c r="A2" s="2" t="s">
        <v>160</v>
      </c>
    </row>
    <row r="4" spans="1:11">
      <c r="A4" s="3" t="s">
        <v>88</v>
      </c>
      <c r="B4" s="3" t="s">
        <v>89</v>
      </c>
      <c r="C4" s="3" t="s">
        <v>90</v>
      </c>
      <c r="D4" s="3" t="s">
        <v>161</v>
      </c>
      <c r="E4" s="3" t="s">
        <v>162</v>
      </c>
      <c r="F4" s="3" t="s">
        <v>163</v>
      </c>
      <c r="G4" s="3" t="s">
        <v>164</v>
      </c>
      <c r="H4" s="3" t="s">
        <v>165</v>
      </c>
      <c r="I4" s="3" t="s">
        <v>138</v>
      </c>
      <c r="J4" s="3" t="s">
        <v>156</v>
      </c>
      <c r="K4" s="3" t="s">
        <v>166</v>
      </c>
    </row>
    <row r="5" spans="1:11">
      <c r="A5" s="4" t="str">
        <f>Инструменты!B5</f>
        <v>ECCO Kids · бренд · Поиск</v>
      </c>
      <c r="B5" s="5" t="str">
        <f>Инструменты!D5</f>
        <v>Поиск</v>
      </c>
      <c r="C5" s="4" t="str">
        <f>Инструменты!E5</f>
        <v>ключи бренд / бренд+товар</v>
      </c>
      <c r="D5" s="6">
        <f>Инструменты!H5</f>
        <v>0.18</v>
      </c>
      <c r="E5" s="7">
        <f>Инструменты!I5*Допущения!$C$9</f>
        <v>2160000</v>
      </c>
      <c r="F5" s="7">
        <f>Инструменты!M5*Допущения!$C$9</f>
        <v>77148</v>
      </c>
      <c r="G5" s="7">
        <f>Инструменты!N5*Допущения!$C$9</f>
        <v>5016</v>
      </c>
      <c r="H5" s="7">
        <f>ROUND(G5*Допущения!$C$13,0)</f>
        <v>21318000</v>
      </c>
      <c r="I5" s="6">
        <f t="shared" ref="I5:I11" si="0">IF(H5=0,0,E5/H5)</f>
        <v>0.10132282578103</v>
      </c>
      <c r="J5" s="8">
        <f t="shared" ref="J5:J11" si="1">IF(G5=0,0,E5/G5)</f>
        <v>430.622009569378</v>
      </c>
      <c r="K5" s="6">
        <f t="shared" ref="K5:K10" si="2">IF(G$11=0,0,G5/G$11)</f>
        <v>0.273381294964029</v>
      </c>
    </row>
    <row r="6" spans="1:11">
      <c r="A6" s="9" t="str">
        <f>Инструменты!B6</f>
        <v>ECCO Kids · категория boys · Поиск</v>
      </c>
      <c r="B6" s="10" t="str">
        <f>Инструменты!D6</f>
        <v>Поиск</v>
      </c>
      <c r="C6" s="9" t="str">
        <f>Инструменты!E6</f>
        <v>ключи категория kids/boys/кроссовки</v>
      </c>
      <c r="D6" s="11">
        <f>Инструменты!H6</f>
        <v>0.32</v>
      </c>
      <c r="E6" s="12">
        <f>Инструменты!I6*Допущения!$C$9</f>
        <v>3840000</v>
      </c>
      <c r="F6" s="12">
        <f>Инструменты!M6*Допущения!$C$9</f>
        <v>80004</v>
      </c>
      <c r="G6" s="12">
        <f>Инструменты!N6*Допущения!$C$9</f>
        <v>3036</v>
      </c>
      <c r="H6" s="12">
        <f>ROUND(G6*Допущения!$C$13,0)</f>
        <v>12903000</v>
      </c>
      <c r="I6" s="11">
        <f t="shared" si="0"/>
        <v>0.297605208091142</v>
      </c>
      <c r="J6" s="13">
        <f t="shared" si="1"/>
        <v>1264.82213438735</v>
      </c>
      <c r="K6" s="11">
        <f t="shared" si="2"/>
        <v>0.165467625899281</v>
      </c>
    </row>
    <row r="7" spans="1:11">
      <c r="A7" s="4" t="str">
        <f>Инструменты!B7</f>
        <v>ECCO Kids · товарная галерея · Поиск</v>
      </c>
      <c r="B7" s="5" t="str">
        <f>Инструменты!D7</f>
        <v>Поиск</v>
      </c>
      <c r="C7" s="4" t="str">
        <f>Инструменты!E7</f>
        <v>фид + товарные объявления</v>
      </c>
      <c r="D7" s="6">
        <f>Инструменты!H7</f>
        <v>0.15</v>
      </c>
      <c r="E7" s="7">
        <f>Инструменты!I7*Допущения!$C$9</f>
        <v>1800000</v>
      </c>
      <c r="F7" s="7">
        <f>Инструменты!M7*Допущения!$C$9</f>
        <v>40908</v>
      </c>
      <c r="G7" s="7">
        <f>Инструменты!N7*Допущения!$C$9</f>
        <v>1836</v>
      </c>
      <c r="H7" s="7">
        <f>ROUND(G7*Допущения!$C$13,0)</f>
        <v>7803000</v>
      </c>
      <c r="I7" s="6">
        <f t="shared" si="0"/>
        <v>0.230680507497116</v>
      </c>
      <c r="J7" s="8">
        <f t="shared" si="1"/>
        <v>980.392156862745</v>
      </c>
      <c r="K7" s="6">
        <f t="shared" si="2"/>
        <v>0.100065402223676</v>
      </c>
    </row>
    <row r="8" spans="1:11">
      <c r="A8" s="9" t="str">
        <f>Инструменты!B8</f>
        <v>ECCO Kids · интересы и ретаргетинг · РСЯ</v>
      </c>
      <c r="B8" s="10" t="str">
        <f>Инструменты!D8</f>
        <v>РСЯ</v>
      </c>
      <c r="C8" s="9" t="str">
        <f>Инструменты!E8</f>
        <v>интересы (kids/fashion/родители) + ретаргетинг визитов/корзины</v>
      </c>
      <c r="D8" s="11">
        <f>Инструменты!H8</f>
        <v>0.2</v>
      </c>
      <c r="E8" s="12">
        <f>Инструменты!I8*Допущения!$C$9</f>
        <v>2400000</v>
      </c>
      <c r="F8" s="12">
        <f>Инструменты!M8*Допущения!$C$9</f>
        <v>218184</v>
      </c>
      <c r="G8" s="12">
        <f>Инструменты!N8*Допущения!$C$9</f>
        <v>5460</v>
      </c>
      <c r="H8" s="12">
        <f>ROUND(G8*Допущения!$C$13,0)</f>
        <v>23205000</v>
      </c>
      <c r="I8" s="11">
        <f t="shared" si="0"/>
        <v>0.103425985778927</v>
      </c>
      <c r="J8" s="13">
        <f t="shared" si="1"/>
        <v>439.56043956044</v>
      </c>
      <c r="K8" s="11">
        <f t="shared" si="2"/>
        <v>0.297580117724003</v>
      </c>
    </row>
    <row r="9" spans="1:11">
      <c r="A9" s="4" t="str">
        <f>Инструменты!B9</f>
        <v>ECCO Kids · автотаргетинг · РСЯ</v>
      </c>
      <c r="B9" s="5" t="str">
        <f>Инструменты!D9</f>
        <v>РСЯ</v>
      </c>
      <c r="C9" s="4" t="str">
        <f>Инструменты!E9</f>
        <v>автотаргетинг</v>
      </c>
      <c r="D9" s="6">
        <f>Инструменты!H9</f>
        <v>0.1</v>
      </c>
      <c r="E9" s="7">
        <f>Инструменты!I9*Допущения!$C$9</f>
        <v>1200000</v>
      </c>
      <c r="F9" s="7">
        <f>Инструменты!M9*Допущения!$C$9</f>
        <v>109092</v>
      </c>
      <c r="G9" s="7">
        <f>Инструменты!N9*Допущения!$C$9</f>
        <v>1632</v>
      </c>
      <c r="H9" s="7">
        <f>ROUND(G9*Допущения!$C$13,0)</f>
        <v>6936000</v>
      </c>
      <c r="I9" s="6">
        <f t="shared" si="0"/>
        <v>0.173010380622837</v>
      </c>
      <c r="J9" s="8">
        <f t="shared" si="1"/>
        <v>735.294117647059</v>
      </c>
      <c r="K9" s="6">
        <f t="shared" si="2"/>
        <v>0.0889470241988228</v>
      </c>
    </row>
    <row r="10" spans="1:11">
      <c r="A10" s="9" t="str">
        <f>Инструменты!B10</f>
        <v>ECCO Kids · защита бренда · РСЯ</v>
      </c>
      <c r="B10" s="10" t="str">
        <f>Инструменты!D10</f>
        <v>РСЯ</v>
      </c>
      <c r="C10" s="9" t="str">
        <f>Инструменты!E10</f>
        <v>бренд в сетях</v>
      </c>
      <c r="D10" s="11">
        <f>Инструменты!H10</f>
        <v>0.05</v>
      </c>
      <c r="E10" s="12">
        <f>Инструменты!I10*Допущения!$C$9</f>
        <v>600000</v>
      </c>
      <c r="F10" s="12">
        <f>Инструменты!M10*Допущения!$C$9</f>
        <v>54540</v>
      </c>
      <c r="G10" s="12">
        <f>Инструменты!N10*Допущения!$C$9</f>
        <v>1368</v>
      </c>
      <c r="H10" s="12">
        <f>ROUND(G10*Допущения!$C$13,0)</f>
        <v>5814000</v>
      </c>
      <c r="I10" s="11">
        <f t="shared" si="0"/>
        <v>0.103199174406605</v>
      </c>
      <c r="J10" s="13">
        <f t="shared" si="1"/>
        <v>438.59649122807</v>
      </c>
      <c r="K10" s="11">
        <f t="shared" si="2"/>
        <v>0.0745585349901897</v>
      </c>
    </row>
    <row r="11" spans="1:11">
      <c r="A11" s="14" t="s">
        <v>157</v>
      </c>
      <c r="B11" s="14"/>
      <c r="C11" s="14"/>
      <c r="D11" s="15">
        <f>SUM(D5:D10)</f>
        <v>1</v>
      </c>
      <c r="E11" s="16">
        <f>SUM(E5:E10)</f>
        <v>12000000</v>
      </c>
      <c r="F11" s="16">
        <f>SUM(F5:F10)</f>
        <v>579876</v>
      </c>
      <c r="G11" s="16">
        <f>SUM(G5:G10)</f>
        <v>18348</v>
      </c>
      <c r="H11" s="16">
        <f>SUM(H5:H10)</f>
        <v>77979000</v>
      </c>
      <c r="I11" s="15">
        <f t="shared" si="0"/>
        <v>0.153887585119071</v>
      </c>
      <c r="J11" s="17">
        <f t="shared" si="1"/>
        <v>654.02223675605</v>
      </c>
      <c r="K11" s="15">
        <f>SUM(K5:K10)</f>
        <v>1</v>
      </c>
    </row>
    <row r="13" ht="15.75" spans="1:11">
      <c r="A13" s="18" t="s">
        <v>167</v>
      </c>
    </row>
    <row r="14" spans="1:11">
      <c r="A14" s="19" t="s">
        <v>168</v>
      </c>
      <c r="B14" s="20">
        <f>E11</f>
        <v>12000000</v>
      </c>
      <c r="C14" s="19" t="s">
        <v>169</v>
      </c>
      <c r="D14" s="20">
        <f>'Медиаплан на год'!F77</f>
        <v>12000000</v>
      </c>
      <c r="E14" s="19" t="s">
        <v>170</v>
      </c>
      <c r="F14" s="20">
        <f>B14-D14</f>
        <v>0</v>
      </c>
    </row>
    <row r="15" spans="1:11">
      <c r="A15" s="19" t="s">
        <v>171</v>
      </c>
      <c r="B15" s="20">
        <f>H11</f>
        <v>77979000</v>
      </c>
      <c r="C15" s="19" t="s">
        <v>172</v>
      </c>
      <c r="D15" s="20">
        <f>'Медиаплан на год'!M77</f>
        <v>77979000</v>
      </c>
      <c r="E15" s="19" t="s">
        <v>170</v>
      </c>
      <c r="F15" s="20">
        <f>B15-D15</f>
        <v>0</v>
      </c>
    </row>
    <row r="16" spans="1:11">
      <c r="A16" s="19" t="s">
        <v>173</v>
      </c>
      <c r="B16" s="19" t="str">
        <f>IF(AND(I11&gt;=0.15,I11&lt;=0.25),"Да","Нет — проверьте бенчи")</f>
        <v>Да</v>
      </c>
      <c r="C16" s="19"/>
      <c r="D16" s="19"/>
      <c r="E16" s="19"/>
      <c r="F16" s="19"/>
    </row>
    <row r="18" ht="15.75" spans="1:1">
      <c r="A18" s="21" t="s">
        <v>83</v>
      </c>
    </row>
    <row r="19" ht="80" customHeight="1" spans="1:1">
      <c r="A19" s="22" t="s">
        <v>174</v>
      </c>
    </row>
    <row r="20" ht="24" customHeight="1"/>
  </sheetData>
  <autoFilter xmlns:etc="http://www.wps.cn/officeDocument/2017/etCustomData" ref="A4:K11" etc:filterBottomFollowUsedRange="0">
    <extLst/>
  </autoFilter>
  <mergeCells count="4">
    <mergeCell ref="A1:K1"/>
    <mergeCell ref="A2:K2"/>
    <mergeCell ref="A18:K18"/>
    <mergeCell ref="A19:K20"/>
  </mergeCells>
  <conditionalFormatting sqref="I5:I10">
    <cfRule type="colorScale" priority="1">
      <colorScale>
        <cfvo type="min"/>
        <cfvo type="percentile" val="50"/>
        <cfvo type="max"/>
        <color rgb="FF27AE60"/>
        <color rgb="FFF7DC6F"/>
        <color rgb="FFE74C3C"/>
      </colorScale>
    </cfRule>
  </conditionalFormatting>
  <pageMargins left="0.75" right="0.75" top="1" bottom="1" header="0.5" footer="0.5"/>
  <pageSetup paperSize="1" orientation="landscape"/>
  <headerFooter>
    <oddHeader>&amp;C&amp;B ECCO Kids · медиаплан Директ</oddHeader>
    <oddFooter>&amp;L&amp;D&amp;Rстр.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Допущения</vt:lpstr>
      <vt:lpstr>Инструменты</vt:lpstr>
      <vt:lpstr>Медиаплан на год</vt:lpstr>
      <vt:lpstr>Сводка по месяцам</vt:lpstr>
      <vt:lpstr>Сводка за год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ECCO Kids — медиаплан Яндекс Директ (формулы)</dc:title>
  <dc:creator>Polina mediaplan builder</dc:creator>
  <dc:description>Formula-driven 12-month Yandex Direct mediaplan for ECCO kids. Yellow cells are model inputs.</dc:description>
  <cp:lastModifiedBy>cherv</cp:lastModifiedBy>
  <dcterms:created xsi:type="dcterms:W3CDTF">2026-08-20T11:38:00Z</dcterms:created>
  <dcterms:modified xsi:type="dcterms:W3CDTF">2026-08-20T11:47:16Z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3F94B54981574BD085C21FDE2C7DF565_12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