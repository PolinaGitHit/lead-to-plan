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раметры плана" sheetId="1" state="visible" r:id="rId1"/>
    <sheet name="Инструменты" sheetId="2" state="visible" r:id="rId2"/>
    <sheet name="Медиаплан на год" sheetId="3" state="visible" r:id="rId3"/>
    <sheet name="Сводка по месяцам" sheetId="4" state="visible" r:id="rId4"/>
    <sheet name="Сводка за год" sheetId="5" state="visible" r:id="rId5"/>
  </sheets>
  <definedNames>
    <definedName name="_xlnm._FilterDatabase" localSheetId="0" hidden="1">'Параметры плана'!$A$5:$D$8</definedName>
    <definedName name="_xlnm.Print_Titles" localSheetId="0">'Параметры плана'!$1:$5</definedName>
    <definedName name="_xlnm._FilterDatabase" localSheetId="1" hidden="1">'Инструменты'!$A$4:$N$10</definedName>
    <definedName name="_xlnm.Print_Titles" localSheetId="1">'Инструменты'!$1:$4</definedName>
    <definedName name="_xlnm._FilterDatabase" localSheetId="2" hidden="1">'Медиаплан на год'!$A$4:$N$76</definedName>
    <definedName name="_xlnm.Print_Titles" localSheetId="2">'Медиаплан на год'!$1:$4,'Медиаплан на год'!$A:$C</definedName>
    <definedName name="_xlnm._FilterDatabase" localSheetId="3" hidden="1">'Сводка по месяцам'!$A$4:$H$16</definedName>
    <definedName name="_xlnm.Print_Titles" localSheetId="3">'Сводка по месяцам'!$1:$4</definedName>
    <definedName name="_xlnm._FilterDatabase" localSheetId="4" hidden="1">'Сводка за год'!$A$4:$K$10</definedName>
    <definedName name="_xlnm.Print_Titles" localSheetId="4">'Сводка за год'!$1:$4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 ₽&quot;"/>
    <numFmt numFmtId="165" formatCode="0.0%"/>
    <numFmt numFmtId="166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55555"/>
      <sz val="10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7FBFF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E8F5E9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164" fontId="5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1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left" vertical="center" wrapText="1"/>
    </xf>
    <xf numFmtId="2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2" fontId="5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vertical="center" wrapText="1"/>
    </xf>
    <xf numFmtId="2" fontId="6" fillId="7" borderId="1" applyAlignment="1" pivotButton="0" quotePrefix="0" xfId="0">
      <alignment vertical="center" wrapText="1"/>
    </xf>
    <xf numFmtId="164" fontId="6" fillId="7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center" vertical="center" wrapText="1"/>
    </xf>
    <xf numFmtId="10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vertical="center" wrapText="1"/>
    </xf>
    <xf numFmtId="3" fontId="6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3" fontId="5" fillId="3" borderId="1" applyAlignment="1" pivotButton="0" quotePrefix="0" xfId="0">
      <alignment vertical="center" wrapText="1"/>
    </xf>
    <xf numFmtId="165" fontId="5" fillId="3" borderId="1" applyAlignment="1" pivotButton="0" quotePrefix="0" xfId="0">
      <alignment vertical="center" wrapText="1"/>
    </xf>
    <xf numFmtId="166" fontId="5" fillId="3" borderId="1" applyAlignment="1" pivotButton="0" quotePrefix="0" xfId="0">
      <alignment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3" fontId="5" fillId="9" borderId="1" applyAlignment="1" pivotButton="0" quotePrefix="0" xfId="0">
      <alignment horizontal="center" vertical="center" wrapText="1"/>
    </xf>
    <xf numFmtId="10" fontId="5" fillId="9" borderId="1" applyAlignment="1" pivotButton="0" quotePrefix="0" xfId="0">
      <alignment horizontal="center" vertical="center" wrapText="1"/>
    </xf>
    <xf numFmtId="165" fontId="5" fillId="9" borderId="1" applyAlignment="1" pivotButton="0" quotePrefix="0" xfId="0">
      <alignment horizontal="center" vertical="center" wrapText="1"/>
    </xf>
    <xf numFmtId="1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vertical="center" wrapText="1"/>
    </xf>
    <xf numFmtId="165" fontId="5" fillId="5" borderId="1" applyAlignment="1" pivotButton="0" quotePrefix="0" xfId="0">
      <alignment vertical="center" wrapText="1"/>
    </xf>
    <xf numFmtId="166" fontId="5" fillId="5" borderId="1" applyAlignment="1" pivotButton="0" quotePrefix="0" xfId="0">
      <alignment vertical="center" wrapText="1"/>
    </xf>
    <xf numFmtId="3" fontId="5" fillId="6" borderId="1" applyAlignment="1" pivotButton="0" quotePrefix="0" xfId="0">
      <alignment vertical="center" wrapText="1"/>
    </xf>
    <xf numFmtId="165" fontId="5" fillId="6" borderId="1" applyAlignment="1" pivotButton="0" quotePrefix="0" xfId="0">
      <alignment vertical="center" wrapText="1"/>
    </xf>
    <xf numFmtId="166" fontId="5" fillId="6" borderId="1" applyAlignment="1" pivotButton="0" quotePrefix="0" xfId="0">
      <alignment vertical="center" wrapText="1"/>
    </xf>
    <xf numFmtId="166" fontId="6" fillId="7" borderId="1" applyAlignment="1" pivotButton="0" quotePrefix="0" xfId="0">
      <alignment vertical="center" wrapText="1"/>
    </xf>
    <xf numFmtId="165" fontId="5" fillId="5" borderId="1" applyAlignment="1" pivotButton="0" quotePrefix="0" xfId="0">
      <alignment horizontal="center" vertical="center" wrapText="1"/>
    </xf>
    <xf numFmtId="166" fontId="5" fillId="5" borderId="1" applyAlignment="1" pivotButton="0" quotePrefix="0" xfId="0">
      <alignment horizontal="center" vertical="center" wrapText="1"/>
    </xf>
    <xf numFmtId="166" fontId="5" fillId="6" borderId="1" applyAlignment="1" pivotButton="0" quotePrefix="0" xfId="0">
      <alignment horizontal="center" vertical="center" wrapText="1"/>
    </xf>
    <xf numFmtId="3" fontId="5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Расход и выручка по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'Сводка по месяцам'!B4</f>
            </strRef>
          </tx>
          <spPr>
            <a:ln>
              <a:prstDash val="solid"/>
            </a:ln>
          </spPr>
          <cat>
            <numRef>
              <f>'Сводка по месяцам'!$A$5:$A$16</f>
            </numRef>
          </cat>
          <val>
            <numRef>
              <f>'Сводка по месяцам'!$B$5:$B$16</f>
            </numRef>
          </val>
        </ser>
        <ser>
          <idx val="1"/>
          <order val="1"/>
          <tx>
            <strRef>
              <f>'Сводка по месяцам'!F4</f>
            </strRef>
          </tx>
          <spPr>
            <a:ln>
              <a:prstDash val="solid"/>
            </a:ln>
          </spPr>
          <cat>
            <numRef>
              <f>'Сводка по месяцам'!$A$5:$A$16</f>
            </numRef>
          </cat>
          <val>
            <numRef>
              <f>'Сводка по месяцам'!$F$5:$F$16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₽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Покупки за год по кампаниям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 за год'!G4</f>
            </strRef>
          </tx>
          <spPr>
            <a:ln>
              <a:prstDash val="solid"/>
            </a:ln>
          </spPr>
          <cat>
            <numRef>
              <f>'Сводка за год'!$A$5:$A$10</f>
            </numRef>
          </cat>
          <val>
            <numRef>
              <f>'Сводка за год'!$G$5:$G$10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model</author>
  </authors>
  <commentList>
    <comment ref="C6" authorId="0" shapeId="0">
      <text>
        <t>Вход модели. Лист «Инструменты» берёт бюджет как 'Параметры плана'!$C$6 × доля.</t>
      </text>
    </comment>
    <comment ref="C7" authorId="0" shapeId="0">
      <text>
        <t>Вход модели. Выручка = покупки × этот AOV.</t>
      </text>
    </comment>
  </commentList>
</comments>
</file>

<file path=xl/comments/comment2.xml><?xml version="1.0" encoding="utf-8"?>
<comments xmlns="http://schemas.openxmlformats.org/spreadsheetml/2006/main">
  <authors>
    <author>bench</author>
  </authors>
  <commentList>
    <comment ref="B5" authorId="0" shapeId="0">
      <text>
        <t>Бренд дешевле клика — задача забрать свой трафик, не растить охват.</t>
      </text>
    </comment>
    <comment ref="B6" authorId="0" shapeId="0">
      <text>
        <t>32% бюджета — основной спрос родителей по категории.</t>
      </text>
    </comment>
    <comment ref="B7" authorId="0" shapeId="0">
      <text>
        <t>Товарная галерея: CTR выше текста, CPC между брендом и категорией.</t>
      </text>
    </comment>
    <comment ref="B8" authorId="0" shapeId="0">
      <text>
        <t>РСЯ с ручным таргетингом: CR выше автотаргета, ДРР контролируем.</t>
      </text>
    </comment>
    <comment ref="B9" authorId="0" shapeId="0">
      <text>
        <t>«Максимум кликов» — объём в сетях, CR ниже интересов.</t>
      </text>
    </comment>
    <comment ref="B10" authorId="0" shapeId="0">
      <text>
        <t>Защита бренда в РСЯ — те же бенчи, что интересы+ретаргет.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D40"/>
  <sheetViews>
    <sheetView showGridLines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6" customWidth="1" min="3" max="3"/>
    <col width="10" customWidth="1" min="4" max="4"/>
  </cols>
  <sheetData>
    <row r="1" ht="24" customHeight="1">
      <c r="A1" s="1" t="inlineStr">
        <is>
          <t>Параметры плана: ECCO Kids — медиаплан Яндекс Директ</t>
        </is>
      </c>
    </row>
    <row r="2" ht="32" customHeight="1">
      <c r="A2" s="2" t="inlineStr">
        <is>
          <t>Бюджет и AOV — цифры для формул; ниже — условия, по которым собран сплит кампаний и воронка до покупки.</t>
        </is>
      </c>
    </row>
    <row r="4">
      <c r="A4" s="3" t="inlineStr">
        <is>
          <t>Данные для расчёта</t>
        </is>
      </c>
    </row>
    <row r="5" ht="22" customHeight="1">
      <c r="A5" s="4" t="inlineStr">
        <is>
          <t>Источник</t>
        </is>
      </c>
      <c r="B5" s="4" t="inlineStr">
        <is>
          <t>Параметр</t>
        </is>
      </c>
      <c r="C5" s="4" t="inlineStr">
        <is>
          <t>Значение</t>
        </is>
      </c>
      <c r="D5" s="4" t="inlineStr">
        <is>
          <t>Ед.</t>
        </is>
      </c>
    </row>
    <row r="6" ht="22" customHeight="1">
      <c r="A6" s="5" t="inlineStr">
        <is>
          <t>из исходных данных</t>
        </is>
      </c>
      <c r="B6" s="5" t="inlineStr">
        <is>
          <t>Месячный бюджет без НДС</t>
        </is>
      </c>
      <c r="C6" s="6" t="n">
        <v>1000000</v>
      </c>
      <c r="D6" s="5" t="inlineStr">
        <is>
          <t>₽</t>
        </is>
      </c>
    </row>
    <row r="7" ht="22" customHeight="1">
      <c r="A7" s="5" t="inlineStr">
        <is>
          <t>информация с сайта</t>
        </is>
      </c>
      <c r="B7" s="5" t="inlineStr">
        <is>
          <t>Средний чек (AOV)</t>
        </is>
      </c>
      <c r="C7" s="6" t="n">
        <v>4250</v>
      </c>
      <c r="D7" s="5" t="inlineStr">
        <is>
          <t>₽</t>
        </is>
      </c>
    </row>
    <row r="8" ht="22" customHeight="1">
      <c r="A8" s="7" t="inlineStr">
        <is>
          <t>из исходных данных</t>
        </is>
      </c>
      <c r="B8" s="7" t="inlineStr">
        <is>
          <t>Горизонт планирования</t>
        </is>
      </c>
      <c r="C8" s="8" t="n">
        <v>12</v>
      </c>
      <c r="D8" s="7" t="inlineStr">
        <is>
          <t>мес</t>
        </is>
      </c>
    </row>
    <row r="10">
      <c r="A10" s="3" t="inlineStr">
        <is>
          <t>Условия расчёта</t>
        </is>
      </c>
    </row>
    <row r="11" ht="22" customHeight="1">
      <c r="A11" s="4" t="inlineStr">
        <is>
          <t>Источник</t>
        </is>
      </c>
      <c r="B11" s="4" t="inlineStr">
        <is>
          <t>Условие</t>
        </is>
      </c>
      <c r="C11" s="4" t="inlineStr">
        <is>
          <t>Значение</t>
        </is>
      </c>
    </row>
    <row r="12" ht="22" customHeight="1">
      <c r="A12" s="9" t="inlineStr">
        <is>
          <t>из исходных данных</t>
        </is>
      </c>
      <c r="B12" s="9" t="inlineStr">
        <is>
          <t>Целевое действие</t>
        </is>
      </c>
      <c r="C12" s="9" t="inlineStr">
        <is>
          <t>Покупка на сайте (Метрика)</t>
        </is>
      </c>
    </row>
    <row r="13" ht="22" customHeight="1">
      <c r="A13" s="10" t="inlineStr">
        <is>
          <t>из исходных данных</t>
        </is>
      </c>
      <c r="B13" s="10" t="inlineStr">
        <is>
          <t>KPI эффективности</t>
        </is>
      </c>
      <c r="C13" s="10" t="inlineStr">
        <is>
          <t>ДРР = расход без НДС / выручка</t>
        </is>
      </c>
    </row>
    <row r="14" ht="22" customHeight="1">
      <c r="A14" s="9" t="inlineStr">
        <is>
          <t>из исходных данных</t>
        </is>
      </c>
      <c r="B14" s="9" t="inlineStr">
        <is>
          <t>Коридор ДРР</t>
        </is>
      </c>
      <c r="C14" s="9" t="inlineStr">
        <is>
          <t>15–25%</t>
        </is>
      </c>
    </row>
    <row r="15" ht="22" customHeight="1">
      <c r="A15" s="10" t="inlineStr">
        <is>
          <t>принимаем значение</t>
        </is>
      </c>
      <c r="B15" s="10" t="inlineStr">
        <is>
          <t>Распределение бюджета по месяцам</t>
        </is>
      </c>
      <c r="C15" s="10" t="inlineStr">
        <is>
          <t>Сезонные веса (таблица ниже): пики сен/окт и янв; лето ниже базы; год = 12 млн ₽ без НДС</t>
        </is>
      </c>
    </row>
    <row r="16" ht="22" customHeight="1">
      <c r="A16" s="9" t="inlineStr">
        <is>
          <t>принимаем значение</t>
        </is>
      </c>
      <c r="B16" s="9" t="inlineStr">
        <is>
          <t>Места показа</t>
        </is>
      </c>
      <c r="C16" s="9" t="inlineStr">
        <is>
          <t>Поиск и РСЯ — отдельные ЕПК, не смешиваем</t>
        </is>
      </c>
    </row>
    <row r="17" ht="22" customHeight="1">
      <c r="A17" s="10" t="inlineStr">
        <is>
          <t>принимаем значение</t>
        </is>
      </c>
      <c r="B17" s="10" t="inlineStr">
        <is>
          <t>Воронка</t>
        </is>
      </c>
      <c r="C17" s="10" t="inlineStr">
        <is>
          <t>Показы → клики → покупки → выручка</t>
        </is>
      </c>
    </row>
    <row r="19">
      <c r="A19" s="3" t="inlineStr">
        <is>
          <t>Сезонность по месяцам</t>
        </is>
      </c>
    </row>
    <row r="20" ht="22" customHeight="1">
      <c r="A20" s="4" t="inlineStr">
        <is>
          <t>Месяц</t>
        </is>
      </c>
      <c r="B20" s="4" t="inlineStr">
        <is>
          <t>Вес</t>
        </is>
      </c>
      <c r="C20" s="4" t="inlineStr">
        <is>
          <t>Бюджет канала, ₽</t>
        </is>
      </c>
    </row>
    <row r="21" ht="22" customHeight="1">
      <c r="A21" s="11" t="inlineStr">
        <is>
          <t>Сен 2026</t>
        </is>
      </c>
      <c r="B21" s="12" t="n">
        <v>1.15</v>
      </c>
      <c r="C21" s="13">
        <f>ROUND($C$6*B21,0)</f>
        <v/>
      </c>
    </row>
    <row r="22" ht="22" customHeight="1">
      <c r="A22" s="14" t="inlineStr">
        <is>
          <t>Окт 2026</t>
        </is>
      </c>
      <c r="B22" s="15" t="n">
        <v>1.1</v>
      </c>
      <c r="C22" s="16">
        <f>ROUND($C$6*B22,0)</f>
        <v/>
      </c>
    </row>
    <row r="23" ht="22" customHeight="1">
      <c r="A23" s="11" t="inlineStr">
        <is>
          <t>Ноя 2026</t>
        </is>
      </c>
      <c r="B23" s="12" t="n">
        <v>1.05</v>
      </c>
      <c r="C23" s="13">
        <f>ROUND($C$6*B23,0)</f>
        <v/>
      </c>
    </row>
    <row r="24" ht="22" customHeight="1">
      <c r="A24" s="14" t="inlineStr">
        <is>
          <t>Дек 2026</t>
        </is>
      </c>
      <c r="B24" s="15" t="n">
        <v>1.05</v>
      </c>
      <c r="C24" s="16">
        <f>ROUND($C$6*B24,0)</f>
        <v/>
      </c>
    </row>
    <row r="25" ht="22" customHeight="1">
      <c r="A25" s="11" t="inlineStr">
        <is>
          <t>Янв 2027</t>
        </is>
      </c>
      <c r="B25" s="12" t="n">
        <v>1.15</v>
      </c>
      <c r="C25" s="13">
        <f>ROUND($C$6*B25,0)</f>
        <v/>
      </c>
    </row>
    <row r="26" ht="22" customHeight="1">
      <c r="A26" s="14" t="inlineStr">
        <is>
          <t>Фев 2027</t>
        </is>
      </c>
      <c r="B26" s="15" t="n">
        <v>1.05</v>
      </c>
      <c r="C26" s="16">
        <f>ROUND($C$6*B26,0)</f>
        <v/>
      </c>
    </row>
    <row r="27" ht="22" customHeight="1">
      <c r="A27" s="11" t="inlineStr">
        <is>
          <t>Мар 2027</t>
        </is>
      </c>
      <c r="B27" s="12" t="n">
        <v>1</v>
      </c>
      <c r="C27" s="13">
        <f>ROUND($C$6*B27,0)</f>
        <v/>
      </c>
    </row>
    <row r="28" ht="22" customHeight="1">
      <c r="A28" s="14" t="inlineStr">
        <is>
          <t>Апр 2027</t>
        </is>
      </c>
      <c r="B28" s="15" t="n">
        <v>0.95</v>
      </c>
      <c r="C28" s="16">
        <f>ROUND($C$6*B28,0)</f>
        <v/>
      </c>
    </row>
    <row r="29" ht="22" customHeight="1">
      <c r="A29" s="11" t="inlineStr">
        <is>
          <t>Май 2027</t>
        </is>
      </c>
      <c r="B29" s="12" t="n">
        <v>0.9</v>
      </c>
      <c r="C29" s="13">
        <f>ROUND($C$6*B29,0)</f>
        <v/>
      </c>
    </row>
    <row r="30" ht="22" customHeight="1">
      <c r="A30" s="14" t="inlineStr">
        <is>
          <t>Июн 2027</t>
        </is>
      </c>
      <c r="B30" s="15" t="n">
        <v>0.85</v>
      </c>
      <c r="C30" s="16">
        <f>ROUND($C$6*B30,0)</f>
        <v/>
      </c>
    </row>
    <row r="31" ht="22" customHeight="1">
      <c r="A31" s="11" t="inlineStr">
        <is>
          <t>Июл 2027</t>
        </is>
      </c>
      <c r="B31" s="12" t="n">
        <v>0.8</v>
      </c>
      <c r="C31" s="13">
        <f>ROUND($C$6*B31,0)</f>
        <v/>
      </c>
    </row>
    <row r="32" ht="22" customHeight="1">
      <c r="A32" s="14" t="inlineStr">
        <is>
          <t>Авг 2027</t>
        </is>
      </c>
      <c r="B32" s="15" t="n">
        <v>0.95</v>
      </c>
      <c r="C32" s="16">
        <f>ROUND($C$6*B32,0)</f>
        <v/>
      </c>
    </row>
    <row r="33">
      <c r="A33" s="17" t="inlineStr">
        <is>
          <t>Итого</t>
        </is>
      </c>
      <c r="B33" s="18">
        <f>SUM(B21:B32)</f>
        <v/>
      </c>
      <c r="C33" s="19">
        <f>SUM(C21:C32)</f>
        <v/>
      </c>
    </row>
    <row r="35">
      <c r="A35" s="20" t="inlineStr">
        <is>
          <t>Комментарий к расчёту</t>
        </is>
      </c>
    </row>
    <row r="36" ht="24" customHeight="1">
      <c r="A36" s="21" t="inlineStr">
        <is>
          <t>На листе разделены цифры, которые подставляются в формулы, и правила, по которым собран медиаплан. 1 000 000 ₽/мес без НДС — опорный месяц (вес 1,0); на сетке года к базовому расходу кампании умножаются сезонные веса из таблицы ниже — сумма весов 12, годовой расход канала 12 000 000 ₽. AOV 4 250 ₽ взяли с витрины kids/boys как рабочую оценку среднего чека: от него считается выручка и весь ДРР. Цель воронки — «Покупка на сайте»; KPI — ДРР в коридоре 15–25%. Пики сентябрь/октябрь (школа) и январь (зима) — усиливаем категорийный Поиск и товарную галерею, плюс интересы и ретаргетинг РСЯ; летом (июнь–июль) ниже базы — первым режем автотаргетинг РСЯ, бренд-Поиск и ретаргет не трогаем. Если после запуска средний чек или CR в кабинете расходятся с планом — правим параметры или бенчи на «Инструментах», а не пересчитываем вручную строки года.</t>
        </is>
      </c>
    </row>
    <row r="37" ht="24" customHeight="1"/>
    <row r="38" ht="24" customHeight="1"/>
    <row r="39" ht="24" customHeight="1"/>
    <row r="40" ht="24" customHeight="1"/>
  </sheetData>
  <autoFilter ref="A5:D8"/>
  <mergeCells count="4">
    <mergeCell ref="A1:D1"/>
    <mergeCell ref="A35:D35"/>
    <mergeCell ref="A36:D40"/>
    <mergeCell ref="A2:D2"/>
  </mergeCells>
  <pageMargins left="0.75" right="0.75" top="1" bottom="1" header="0.5" footer="0.5"/>
  <pageSetup orientation="landscape" fitToWidth="1"/>
  <headerFooter>
    <oddHeader>&amp;LECCO Kids · Яндекс Директ&amp;C&amp;B ECCO Kids · медиаплан Директ</oddHeader>
    <oddFooter>&amp;L&amp;D&amp;Rстр.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2E86C1"/>
    <outlinePr summaryBelow="1" summaryRight="1"/>
    <pageSetUpPr fitToPage="1"/>
  </sheetPr>
  <dimension ref="A1:N33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28" customWidth="1" min="4" max="4"/>
    <col width="38" customWidth="1" min="5" max="5"/>
    <col width="38" customWidth="1" min="6" max="6"/>
    <col width="22" customWidth="1" min="7" max="7"/>
    <col width="14" customWidth="1" min="8" max="8"/>
    <col width="16" customWidth="1" min="9" max="9"/>
    <col width="10" customWidth="1" min="10" max="10"/>
    <col width="12" customWidth="1" min="11" max="11"/>
    <col width="14" customWidth="1" min="12" max="12"/>
    <col width="12" customWidth="1" min="13" max="13"/>
    <col width="14" customWidth="1" min="14" max="14"/>
  </cols>
  <sheetData>
    <row r="1">
      <c r="A1" s="1" t="inlineStr">
        <is>
          <t>Инструменты: 6 кампаний ЕПК и бенчмарки воронки</t>
        </is>
      </c>
    </row>
    <row r="2" ht="40" customHeight="1">
      <c r="A2" s="2" t="inlineStr">
        <is>
          <t>Поиск и РСЯ в одной кампании не смешиваю: иначе не прочитаем аукцион и CR. 32% на категорийный поиск — основной спрос родителей. Бренд дешевле клика, его задача — забрать свой трафик, не растить охват. Доля × бюджет из листа «Параметры плана» ('Параметры плана'!$C$6) — опорный месяц (вес 1,0); на сетке года к расходу кампании умножаются сезонные веса. CTR/CPC/CR — жёлтые входы.</t>
        </is>
      </c>
    </row>
    <row r="4" ht="36" customHeight="1">
      <c r="A4" s="4" t="inlineStr">
        <is>
          <t>#</t>
        </is>
      </c>
      <c r="B4" s="4" t="inlineStr">
        <is>
          <t>Кампания</t>
        </is>
      </c>
      <c r="C4" s="4" t="inlineStr">
        <is>
          <t>Тип кампании</t>
        </is>
      </c>
      <c r="D4" s="4" t="inlineStr">
        <is>
          <t>Тип площадки</t>
        </is>
      </c>
      <c r="E4" s="4" t="inlineStr">
        <is>
          <t>Доп. инструменты</t>
        </is>
      </c>
      <c r="F4" s="4" t="inlineStr">
        <is>
          <t>Тип объявлений</t>
        </is>
      </c>
      <c r="G4" s="4" t="inlineStr">
        <is>
          <t>Стратегия</t>
        </is>
      </c>
      <c r="H4" s="4" t="inlineStr">
        <is>
          <t>Доля бюджета</t>
        </is>
      </c>
      <c r="I4" s="4" t="inlineStr">
        <is>
          <t>Бюджет/мес, ₽</t>
        </is>
      </c>
      <c r="J4" s="4" t="inlineStr">
        <is>
          <t>CTR</t>
        </is>
      </c>
      <c r="K4" s="4" t="inlineStr">
        <is>
          <t>CPC, ₽</t>
        </is>
      </c>
      <c r="L4" s="4" t="inlineStr">
        <is>
          <t>CR в покупку</t>
        </is>
      </c>
      <c r="M4" s="4" t="inlineStr">
        <is>
          <t>Клики/мес</t>
        </is>
      </c>
      <c r="N4" s="4" t="inlineStr">
        <is>
          <t>Покупки/мес</t>
        </is>
      </c>
    </row>
    <row r="5" ht="24" customHeight="1">
      <c r="A5" s="22" t="n">
        <v>1</v>
      </c>
      <c r="B5" s="14" t="inlineStr">
        <is>
          <t>ECCO Kids · бренд · Поиск</t>
        </is>
      </c>
      <c r="C5" s="22" t="inlineStr">
        <is>
          <t>ЕПК</t>
        </is>
      </c>
      <c r="D5" s="22" t="inlineStr">
        <is>
          <t>Поиск</t>
        </is>
      </c>
      <c r="E5" s="14" t="inlineStr">
        <is>
          <t>ключи бренд / бренд+товар</t>
        </is>
      </c>
      <c r="F5" s="22" t="inlineStr">
        <is>
          <t>текстово-графические</t>
        </is>
      </c>
      <c r="G5" s="22" t="inlineStr">
        <is>
          <t>Максимум конверсий</t>
        </is>
      </c>
      <c r="H5" s="23" t="n">
        <v>0.18</v>
      </c>
      <c r="I5" s="24">
        <f>ROUND('Параметры плана'!$C$6*H5,0)</f>
        <v/>
      </c>
      <c r="J5" s="25" t="n">
        <v>0.1</v>
      </c>
      <c r="K5" s="26" t="n">
        <v>28</v>
      </c>
      <c r="L5" s="25" t="n">
        <v>0.065</v>
      </c>
      <c r="M5" s="24">
        <f>IF(K5=0,0,ROUND(I5/K5,0))</f>
        <v/>
      </c>
      <c r="N5" s="24">
        <f>ROUND(M5*L5,0)</f>
        <v/>
      </c>
    </row>
    <row r="6" ht="24" customHeight="1">
      <c r="A6" s="27" t="n">
        <v>2</v>
      </c>
      <c r="B6" s="11" t="inlineStr">
        <is>
          <t>ECCO Kids · категория boys · Поиск</t>
        </is>
      </c>
      <c r="C6" s="27" t="inlineStr">
        <is>
          <t>ЕПК</t>
        </is>
      </c>
      <c r="D6" s="27" t="inlineStr">
        <is>
          <t>Поиск</t>
        </is>
      </c>
      <c r="E6" s="11" t="inlineStr">
        <is>
          <t>ключи категория kids/boys/кроссовки</t>
        </is>
      </c>
      <c r="F6" s="27" t="inlineStr">
        <is>
          <t>текстово-графические</t>
        </is>
      </c>
      <c r="G6" s="27" t="inlineStr">
        <is>
          <t>Максимум конверсий</t>
        </is>
      </c>
      <c r="H6" s="23" t="n">
        <v>0.32</v>
      </c>
      <c r="I6" s="28">
        <f>ROUND('Параметры плана'!$C$6*H6,0)</f>
        <v/>
      </c>
      <c r="J6" s="25" t="n">
        <v>0.045</v>
      </c>
      <c r="K6" s="26" t="n">
        <v>48</v>
      </c>
      <c r="L6" s="25" t="n">
        <v>0.038</v>
      </c>
      <c r="M6" s="28">
        <f>IF(K6=0,0,ROUND(I6/K6,0))</f>
        <v/>
      </c>
      <c r="N6" s="28">
        <f>ROUND(M6*L6,0)</f>
        <v/>
      </c>
    </row>
    <row r="7" ht="24" customHeight="1">
      <c r="A7" s="22" t="n">
        <v>3</v>
      </c>
      <c r="B7" s="14" t="inlineStr">
        <is>
          <t>ECCO Kids · товарная галерея · Поиск</t>
        </is>
      </c>
      <c r="C7" s="22" t="inlineStr">
        <is>
          <t>ЕПК</t>
        </is>
      </c>
      <c r="D7" s="22" t="inlineStr">
        <is>
          <t>Поиск</t>
        </is>
      </c>
      <c r="E7" s="14" t="inlineStr">
        <is>
          <t>фид + товарные объявления</t>
        </is>
      </c>
      <c r="F7" s="22" t="inlineStr">
        <is>
          <t>товарные</t>
        </is>
      </c>
      <c r="G7" s="22" t="inlineStr">
        <is>
          <t>Максимум конверсий</t>
        </is>
      </c>
      <c r="H7" s="23" t="n">
        <v>0.15</v>
      </c>
      <c r="I7" s="24">
        <f>ROUND('Параметры плана'!$C$6*H7,0)</f>
        <v/>
      </c>
      <c r="J7" s="25" t="n">
        <v>0.07000000000000001</v>
      </c>
      <c r="K7" s="26" t="n">
        <v>44</v>
      </c>
      <c r="L7" s="25" t="n">
        <v>0.045</v>
      </c>
      <c r="M7" s="24">
        <f>IF(K7=0,0,ROUND(I7/K7,0))</f>
        <v/>
      </c>
      <c r="N7" s="24">
        <f>ROUND(M7*L7,0)</f>
        <v/>
      </c>
    </row>
    <row r="8" ht="24" customHeight="1">
      <c r="A8" s="27" t="n">
        <v>4</v>
      </c>
      <c r="B8" s="11" t="inlineStr">
        <is>
          <t>ECCO Kids · интересы и ретаргетинг · РСЯ</t>
        </is>
      </c>
      <c r="C8" s="27" t="inlineStr">
        <is>
          <t>ЕПК</t>
        </is>
      </c>
      <c r="D8" s="27" t="inlineStr">
        <is>
          <t>РСЯ</t>
        </is>
      </c>
      <c r="E8" s="11" t="inlineStr">
        <is>
          <t>интересы (kids/fashion/родители) + ретаргетинг визитов/корзины</t>
        </is>
      </c>
      <c r="F8" s="27" t="inlineStr">
        <is>
          <t>графические + текстово-графические</t>
        </is>
      </c>
      <c r="G8" s="27" t="inlineStr">
        <is>
          <t>Максимум конверсий</t>
        </is>
      </c>
      <c r="H8" s="23" t="n">
        <v>0.2</v>
      </c>
      <c r="I8" s="28">
        <f>ROUND('Параметры плана'!$C$6*H8,0)</f>
        <v/>
      </c>
      <c r="J8" s="25" t="n">
        <v>0.008</v>
      </c>
      <c r="K8" s="26" t="n">
        <v>11</v>
      </c>
      <c r="L8" s="25" t="n">
        <v>0.025</v>
      </c>
      <c r="M8" s="28">
        <f>IF(K8=0,0,ROUND(I8/K8,0))</f>
        <v/>
      </c>
      <c r="N8" s="28">
        <f>ROUND(M8*L8,0)</f>
        <v/>
      </c>
    </row>
    <row r="9" ht="24" customHeight="1">
      <c r="A9" s="22" t="n">
        <v>5</v>
      </c>
      <c r="B9" s="14" t="inlineStr">
        <is>
          <t>ECCO Kids · автотаргетинг · РСЯ</t>
        </is>
      </c>
      <c r="C9" s="22" t="inlineStr">
        <is>
          <t>ЕПК</t>
        </is>
      </c>
      <c r="D9" s="22" t="inlineStr">
        <is>
          <t>РСЯ</t>
        </is>
      </c>
      <c r="E9" s="14" t="inlineStr">
        <is>
          <t>автотаргетинг</t>
        </is>
      </c>
      <c r="F9" s="22" t="inlineStr">
        <is>
          <t>графические + текстово-графические</t>
        </is>
      </c>
      <c r="G9" s="22" t="inlineStr">
        <is>
          <t>Максимум кликов</t>
        </is>
      </c>
      <c r="H9" s="23" t="n">
        <v>0.1</v>
      </c>
      <c r="I9" s="24">
        <f>ROUND('Параметры плана'!$C$6*H9,0)</f>
        <v/>
      </c>
      <c r="J9" s="25" t="n">
        <v>0.008</v>
      </c>
      <c r="K9" s="26" t="n">
        <v>11</v>
      </c>
      <c r="L9" s="25" t="n">
        <v>0.015</v>
      </c>
      <c r="M9" s="24">
        <f>IF(K9=0,0,ROUND(I9/K9,0))</f>
        <v/>
      </c>
      <c r="N9" s="24">
        <f>ROUND(M9*L9,0)</f>
        <v/>
      </c>
    </row>
    <row r="10" ht="24" customHeight="1">
      <c r="A10" s="27" t="n">
        <v>6</v>
      </c>
      <c r="B10" s="11" t="inlineStr">
        <is>
          <t>ECCO Kids · защита бренда · РСЯ</t>
        </is>
      </c>
      <c r="C10" s="27" t="inlineStr">
        <is>
          <t>ЕПК</t>
        </is>
      </c>
      <c r="D10" s="27" t="inlineStr">
        <is>
          <t>РСЯ</t>
        </is>
      </c>
      <c r="E10" s="11" t="inlineStr">
        <is>
          <t>бренд в сетях</t>
        </is>
      </c>
      <c r="F10" s="27" t="inlineStr">
        <is>
          <t>графические + текстово-графические</t>
        </is>
      </c>
      <c r="G10" s="27" t="inlineStr">
        <is>
          <t>Максимум конверсий</t>
        </is>
      </c>
      <c r="H10" s="23" t="n">
        <v>0.05</v>
      </c>
      <c r="I10" s="28">
        <f>ROUND('Параметры плана'!$C$6*H10,0)</f>
        <v/>
      </c>
      <c r="J10" s="25" t="n">
        <v>0.008</v>
      </c>
      <c r="K10" s="26" t="n">
        <v>11</v>
      </c>
      <c r="L10" s="25" t="n">
        <v>0.025</v>
      </c>
      <c r="M10" s="28">
        <f>IF(K10=0,0,ROUND(I10/K10,0))</f>
        <v/>
      </c>
      <c r="N10" s="28">
        <f>ROUND(M10*L10,0)</f>
        <v/>
      </c>
    </row>
    <row r="11" ht="24" customHeight="1">
      <c r="A11" s="17" t="inlineStr"/>
      <c r="B11" s="17" t="inlineStr">
        <is>
          <t>Итого / месяц</t>
        </is>
      </c>
      <c r="C11" s="17" t="n"/>
      <c r="D11" s="17" t="n"/>
      <c r="E11" s="17" t="n"/>
      <c r="F11" s="17" t="n"/>
      <c r="G11" s="17" t="n"/>
      <c r="H11" s="29">
        <f>SUM(H5:H10)</f>
        <v/>
      </c>
      <c r="I11" s="30">
        <f>SUM(I5:I10)</f>
        <v/>
      </c>
      <c r="J11" s="17" t="n"/>
      <c r="K11" s="17" t="n"/>
      <c r="L11" s="17" t="n"/>
      <c r="M11" s="30">
        <f>SUM(M5:M10)</f>
        <v/>
      </c>
      <c r="N11" s="30">
        <f>SUM(N5:N10)</f>
        <v/>
      </c>
    </row>
    <row r="13">
      <c r="A13" s="3" t="inlineStr">
        <is>
          <t>Проверка месяца (формулы)</t>
        </is>
      </c>
    </row>
    <row r="14">
      <c r="A14" s="31" t="inlineStr">
        <is>
          <t>Выручка / мес</t>
        </is>
      </c>
      <c r="B14" s="31" t="n"/>
      <c r="C14" s="32">
        <f>ROUND(N11*'Параметры плана'!$C$7,0)</f>
        <v/>
      </c>
      <c r="D14" s="31" t="inlineStr">
        <is>
          <t>₽</t>
        </is>
      </c>
    </row>
    <row r="15">
      <c r="A15" s="31" t="inlineStr">
        <is>
          <t>ДРР / мес</t>
        </is>
      </c>
      <c r="B15" s="31" t="n"/>
      <c r="C15" s="33">
        <f>IF(C14=0,0,I11/C14)</f>
        <v/>
      </c>
      <c r="D15" s="31" t="inlineStr">
        <is>
          <t>%</t>
        </is>
      </c>
    </row>
    <row r="16">
      <c r="A16" s="31" t="inlineStr">
        <is>
          <t>CPA / мес</t>
        </is>
      </c>
      <c r="B16" s="31" t="n"/>
      <c r="C16" s="34">
        <f>IF(N11=0,0,I11/N11)</f>
        <v/>
      </c>
      <c r="D16" s="31" t="inlineStr">
        <is>
          <t>₽</t>
        </is>
      </c>
    </row>
    <row r="17">
      <c r="A17" s="7" t="inlineStr">
        <is>
          <t>Контроль долей</t>
        </is>
      </c>
      <c r="B17" s="7" t="n"/>
      <c r="C17" s="7">
        <f>IF(ABS(H11-1)&lt;0.0001,"OK: 100%","Ошибка: сумма долей ≠ 100%")</f>
        <v/>
      </c>
      <c r="D17" s="7" t="n"/>
    </row>
    <row r="19">
      <c r="A19" s="3" t="inlineStr">
        <is>
          <t>Обоснование сплита и расчёта</t>
        </is>
      </c>
    </row>
    <row r="20" ht="36" customHeight="1">
      <c r="A20" s="4" t="inlineStr">
        <is>
          <t>Кампания</t>
        </is>
      </c>
      <c r="B20" s="4" t="inlineStr">
        <is>
          <t>Места показа</t>
        </is>
      </c>
      <c r="C20" s="4" t="inlineStr">
        <is>
          <t>Доля / расход</t>
        </is>
      </c>
      <c r="D20" s="4" t="inlineStr">
        <is>
          <t>Почему этот тип кампании и условие показа</t>
        </is>
      </c>
      <c r="E20" s="4" t="inlineStr">
        <is>
          <t>Почему такая доля бюджета</t>
        </is>
      </c>
      <c r="F20" s="4" t="inlineStr">
        <is>
          <t>Экономика месяца</t>
        </is>
      </c>
    </row>
    <row r="21" ht="80" customHeight="1">
      <c r="A21" s="11">
        <f>B5</f>
        <v/>
      </c>
      <c r="B21" s="11" t="inlineStr">
        <is>
          <t>Поиск</t>
        </is>
      </c>
      <c r="C21" s="11">
        <f>TEXT(H5,"0%")&amp;" ("&amp;TEXT(I5,"#,##0")&amp;" ₽/мес)"</f>
        <v/>
      </c>
      <c r="D21" s="11" t="inlineStr">
        <is>
          <t>Тип: ЕПК, места показа только Поиск, объявления текстово-графические, стратегия «Максимум конверсий», цель Метрики «Покупка на сайте». Условие показа — ключи бренд и бренд+товар. Почему тип: бренд в Поиске — самый дешёвый и предсказуемый спрос. Смешивать с РСЯ нельзя: другой аукцион и другой CR.</t>
        </is>
      </c>
      <c r="E21" s="11" t="inlineStr">
        <is>
          <t>Почему 18% (180 000 ₽/мес): этого достаточно, чтобы забрать свой спрос, но не раздувать бренд сверх частотности. Основной объём категории должен жить в небренде.</t>
        </is>
      </c>
      <c r="F21" s="11" t="inlineStr">
        <is>
          <t>Экономика (допущение, не кабинет): CTR 10,0%, CPC 28 ₽ → ~6 429 кликов; CR 6,5% → ~418 покупок; CPA ≈ 431 ₽; выручка ≈ 1,78 млн ₽; ДРР ≈ 10%. Это якорь канала: низкий ДРР компенсирует более дорогой категорийный поиск.</t>
        </is>
      </c>
    </row>
    <row r="22" ht="80" customHeight="1">
      <c r="A22" s="14">
        <f>B6</f>
        <v/>
      </c>
      <c r="B22" s="14" t="inlineStr">
        <is>
          <t>Поиск</t>
        </is>
      </c>
      <c r="C22" s="14">
        <f>TEXT(H6,"0%")&amp;" ("&amp;TEXT(I6,"#,##0")&amp;" ₽/мес)"</f>
        <v/>
      </c>
      <c r="D22" s="14" t="inlineStr">
        <is>
          <t>Тип: ЕПК, Поиск, ТГО, «Максимум конверсий», ключи категория kids/boys/кроссовки/детская обувь — спрос родителей, не бренд. Почему тип: без категорийного Поиска нет объёма покупок в e-com обуви. Товарные объявления сюда не кладу: фид и семантика — разные рычаги оптимизации.</t>
        </is>
      </c>
      <c r="E22" s="14" t="inlineStr">
        <is>
          <t>Почему 32% (320 000 ₽) — крупнейшая доля: это основной небренд-спрос. Меньше 25% — недобор категории; больше 40% — ДРР канала вылетает из коридора, потому что CPC 48 ₽ и CR 3,8% тяжелее бренда.</t>
        </is>
      </c>
      <c r="F22" s="14" t="inlineStr">
        <is>
          <t>Экономика: CTR 4,5%, CPC 48 ₽ → ~6 667 кликов; CR 3,8% → ~253 покупки; CPA ≈ 1 265 ₽; ДРР строки ≈ 30%. Строка «дорогая» сознательно: её тянет бренд и РСЯ-ретаргет с ДРР ~10%.</t>
        </is>
      </c>
    </row>
    <row r="23" ht="80" customHeight="1">
      <c r="A23" s="11">
        <f>B7</f>
        <v/>
      </c>
      <c r="B23" s="11" t="inlineStr">
        <is>
          <t>Поиск</t>
        </is>
      </c>
      <c r="C23" s="11">
        <f>TEXT(H7,"0%")&amp;" ("&amp;TEXT(I7,"#,##0")&amp;" ₽/мес)"</f>
        <v/>
      </c>
      <c r="D23" s="11" t="inlineStr">
        <is>
          <t>Тип: ЕПК, Поиск, товарные объявления (фид), «Максимум конверсий». Не путать с типом кампании: ЕПК — кампания, товарное — тип объявления. Почему тип: карточка товара на Поиске поднимает CTR vs текст (7% vs 4,5%) и закрывает SKU kids/boys без отдельной «медийки».</t>
        </is>
      </c>
      <c r="E23" s="11" t="inlineStr">
        <is>
          <t>Почему 15% (150 000 ₽): фид должен получить статистику на обучение стратегии, но не съесть семантику. 10% мало для фида, 25% дублирует категорийный поиск.</t>
        </is>
      </c>
      <c r="F23" s="11" t="inlineStr">
        <is>
          <t>Экономика: CTR 7,0%, CPC 44 ₽ → ~3 409 кликов; CR 4,5% → ~153 покупки; CPA ≈ 980 ₽; ДРР ≈ 23% — середина между брендом и категорией.</t>
        </is>
      </c>
    </row>
    <row r="24" ht="80" customHeight="1">
      <c r="A24" s="14">
        <f>B8</f>
        <v/>
      </c>
      <c r="B24" s="14" t="inlineStr">
        <is>
          <t>РСЯ</t>
        </is>
      </c>
      <c r="C24" s="14">
        <f>TEXT(H8,"0%")&amp;" ("&amp;TEXT(I8,"#,##0")&amp;" ₽/мес)"</f>
        <v/>
      </c>
      <c r="D24" s="14" t="inlineStr">
        <is>
          <t>Тип: ЕПК, места показа только РСЯ, графика + ТГО, «Максимум конверсий». Условие показа: интересы (kids/fashion/родители) + ретаргетинг визитов и корзины. Почему тип: сети закрывают тех, кто не ввёл запрос, и дожимают визит/корзину. Поиск сюда не мешаю.</t>
        </is>
      </c>
      <c r="E24" s="14" t="inlineStr">
        <is>
          <t>Почему 20% (200 000 ₽): e-com kids без ретаргета теряет догрев. Больше 25% РСЯ-интересов размывает ДРР: CTR сети 0,8%, конверсия холоднее Поиска.</t>
        </is>
      </c>
      <c r="F24" s="14" t="inlineStr">
        <is>
          <t>Экономика: CPC 11 ₽ → ~18 182 клика; CR 2,5% → ~455 покупок; CPA ≈ 440 ₽; ДРР ≈ 10%. Дешёвый клик + тёплый ретаргет — второй якорь ДРР после бренда.</t>
        </is>
      </c>
    </row>
    <row r="25" ht="80" customHeight="1">
      <c r="A25" s="11">
        <f>B9</f>
        <v/>
      </c>
      <c r="B25" s="11" t="inlineStr">
        <is>
          <t>РСЯ</t>
        </is>
      </c>
      <c r="C25" s="11">
        <f>TEXT(H9,"0%")&amp;" ("&amp;TEXT(I9,"#,##0")&amp;" ₽/мес)"</f>
        <v/>
      </c>
      <c r="D25" s="11" t="inlineStr">
        <is>
          <t>Тип: ЕПК, РСЯ, автотаргетинг, «Максимум кликов» (не «Максимум конверсий»: автотаргету сначала нужен объём кликов, CR ниже). Почему тип: автотаргетинг расширяет охват, но условие показа система берёт сама — CR падает до 1,5%. Держу отдельно, чтобы не портить статистику интересов/ретаргета.</t>
        </is>
      </c>
      <c r="E25" s="11" t="inlineStr">
        <is>
          <t>Почему 10% (100 000 ₽): тестовый объём. Резать первым, если факт ДРР &gt; 25%. Не поднимать, пока CR не догонит интересы.</t>
        </is>
      </c>
      <c r="F25" s="11" t="inlineStr">
        <is>
          <t>Экономика: CPC 11 ₽ → ~9 091 клик; CR 1,5% → ~136 покупок; CPA ≈ 735 ₽; ДРР ≈ 17%. Плата за объём в сетях.</t>
        </is>
      </c>
    </row>
    <row r="26" ht="80" customHeight="1">
      <c r="A26" s="14">
        <f>B10</f>
        <v/>
      </c>
      <c r="B26" s="14" t="inlineStr">
        <is>
          <t>РСЯ</t>
        </is>
      </c>
      <c r="C26" s="14">
        <f>TEXT(H10,"0%")&amp;" ("&amp;TEXT(I10,"#,##0")&amp;" ₽/мес)"</f>
        <v/>
      </c>
      <c r="D26" s="14" t="inlineStr">
        <is>
          <t>Тип: ЕПК, РСЯ, бренд в сетях, «Максимум конверсий», графика + ТГО. Почему тип: защита бренда в РСЯ, чтобы конкурент не перехватывал показ по бренду вне Поиска. Не смешивать с бренд-Поиском.</t>
        </is>
      </c>
      <c r="E26" s="14" t="inlineStr">
        <is>
          <t>Почему 5% (50 000 ₽): частотность бренда в сетях ограничена. 10%+ — переплата за те же аукционы.</t>
        </is>
      </c>
      <c r="F26" s="14" t="inlineStr">
        <is>
          <t>Экономика: CPC 11 ₽ → ~4 545 кликов; CR 2,5% → ~114 покупок; CPA ≈ 439 ₽; ДРР ≈ 10%.</t>
        </is>
      </c>
    </row>
    <row r="28">
      <c r="A28" s="20" t="inlineStr">
        <is>
          <t>Комментарий к расчёту</t>
        </is>
      </c>
    </row>
    <row r="29" ht="24" customHeight="1">
      <c r="A29" s="21" t="inlineStr">
        <is>
          <t>Главное в сплите — два якоря с низким ДРР: бренд в Поиске и ретаргет в РСЯ. Они перекрывают «тяжёлую» категорийную строку с CPC 48 ₽ — без этого микс не проходит коридор 15–25%. Категория 32% — не жадность, а единственный источник объёма небренда; резать её первой нельзя. Автотаргетинг держу отдельно и с «Максимум кликов»: это буфер на объём, его снимаем при первом признаке просадки CR, не трогая бренд и ретаргет. Таблица обоснования выше — логика долей; цифры месяца пересчитаются сами при смене жёлтых бенчей.</t>
        </is>
      </c>
    </row>
    <row r="30" ht="24" customHeight="1"/>
    <row r="31" ht="24" customHeight="1"/>
    <row r="32" ht="24" customHeight="1"/>
    <row r="33" ht="24" customHeight="1"/>
  </sheetData>
  <autoFilter ref="A4:N10"/>
  <mergeCells count="8">
    <mergeCell ref="A16:B16"/>
    <mergeCell ref="A15:B15"/>
    <mergeCell ref="A29:N33"/>
    <mergeCell ref="A2:N2"/>
    <mergeCell ref="A14:B14"/>
    <mergeCell ref="A17:B17"/>
    <mergeCell ref="A28:N28"/>
    <mergeCell ref="A1:N1"/>
  </mergeCells>
  <dataValidations count="1">
    <dataValidation sqref="D5 D6 D7 D8 D9 D10" showDropDown="0" showInputMessage="0" showErrorMessage="0" allowBlank="0" errorTitle="Тип площадки" error="Выберите место показа из списка" type="list">
      <formula1>"Поиск,РСЯ,Поиск и РСЯ"</formula1>
    </dataValidation>
  </dataValidations>
  <pageMargins left="0.75" right="0.75" top="1" bottom="1" header="0.5" footer="0.5"/>
  <pageSetup orientation="landscape" fitToWidth="1"/>
  <headerFooter>
    <oddHeader>&amp;C&amp;B ECCO Kids · медиаплан Директ</oddHeader>
    <oddFooter>&amp;L&amp;D&amp;Rстр.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ABC9C"/>
    <outlinePr summaryBelow="1" summaryRight="1"/>
    <pageSetUpPr fitToPage="1"/>
  </sheetPr>
  <dimension ref="A1:N84"/>
  <sheetViews>
    <sheetView showGridLines="0" zoomScale="10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28" customWidth="1" min="4" max="4"/>
    <col width="20" customWidth="1" min="5" max="5"/>
    <col width="14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1" customWidth="1" min="12" max="12"/>
    <col width="14" customWidth="1" min="13" max="13"/>
    <col width="10" customWidth="1" min="14" max="14"/>
  </cols>
  <sheetData>
    <row r="1">
      <c r="A1" s="1" t="inlineStr">
        <is>
          <t>Медиаплан на год: 6 кампаний × 12 месяцев (все цифры — формулы)</t>
        </is>
      </c>
    </row>
    <row r="2" ht="40" customHeight="1">
      <c r="A2" s="2" t="inlineStr">
        <is>
          <t>Сетка — 6 ЕПК × 12 месяцев; бюджет строки = база «Инструментов» × сезонный вес с «Параметры плана» ('Параметры плана'!$A$21:$B$32). ДРР года = сумма расхода / сумма выручки, не среднее ДРР строк. Крутим жёлтые CTR/CPC/CR на «Инструментах», не копируем итоги. Показы = клики / CTR; клики = бюджет / CPC; покупки = клики × CR; выручка = покупки × AOV.</t>
        </is>
      </c>
    </row>
    <row r="4" ht="32" customHeight="1">
      <c r="A4" s="4" t="inlineStr">
        <is>
          <t>Месяц</t>
        </is>
      </c>
      <c r="B4" s="4" t="inlineStr">
        <is>
          <t>Кампания</t>
        </is>
      </c>
      <c r="C4" s="4" t="inlineStr">
        <is>
          <t>Тип площадки</t>
        </is>
      </c>
      <c r="D4" s="4" t="inlineStr">
        <is>
          <t>Доп. инструменты</t>
        </is>
      </c>
      <c r="E4" s="4" t="inlineStr">
        <is>
          <t>Стратегия</t>
        </is>
      </c>
      <c r="F4" s="4" t="inlineStr">
        <is>
          <t>Бюджет, ₽</t>
        </is>
      </c>
      <c r="G4" s="4" t="inlineStr">
        <is>
          <t>CTR</t>
        </is>
      </c>
      <c r="H4" s="4" t="inlineStr">
        <is>
          <t>CPC, ₽</t>
        </is>
      </c>
      <c r="I4" s="4" t="inlineStr">
        <is>
          <t>Показы</t>
        </is>
      </c>
      <c r="J4" s="4" t="inlineStr">
        <is>
          <t>Клики</t>
        </is>
      </c>
      <c r="K4" s="4" t="inlineStr">
        <is>
          <t>CR</t>
        </is>
      </c>
      <c r="L4" s="4" t="inlineStr">
        <is>
          <t>Покупки</t>
        </is>
      </c>
      <c r="M4" s="4" t="inlineStr">
        <is>
          <t>Выручка, ₽</t>
        </is>
      </c>
      <c r="N4" s="4" t="inlineStr">
        <is>
          <t>ДРР</t>
        </is>
      </c>
    </row>
    <row r="5">
      <c r="A5" s="35" t="inlineStr">
        <is>
          <t>Сен 2026</t>
        </is>
      </c>
      <c r="B5" s="36">
        <f>Инструменты!B5</f>
        <v/>
      </c>
      <c r="C5" s="35">
        <f>Инструменты!D5</f>
        <v/>
      </c>
      <c r="D5" s="36">
        <f>Инструменты!E5</f>
        <v/>
      </c>
      <c r="E5" s="35">
        <f>Инструменты!G5</f>
        <v/>
      </c>
      <c r="F5" s="37">
        <f>ROUND(Инструменты!I5*VLOOKUP(A5,'Параметры плана'!$A$21:$B$32,2,FALSE),0)</f>
        <v/>
      </c>
      <c r="G5" s="38">
        <f>Инструменты!J5</f>
        <v/>
      </c>
      <c r="H5" s="37">
        <f>Инструменты!K5</f>
        <v/>
      </c>
      <c r="I5" s="37">
        <f>IF(G5=0,0,ROUND(J5/G5,0))</f>
        <v/>
      </c>
      <c r="J5" s="37">
        <f>IF(H5=0,0,ROUND(F5/H5,0))</f>
        <v/>
      </c>
      <c r="K5" s="38">
        <f>Инструменты!L5</f>
        <v/>
      </c>
      <c r="L5" s="37">
        <f>ROUND(J5*K5,0)</f>
        <v/>
      </c>
      <c r="M5" s="37">
        <f>ROUND(L5*'Параметры плана'!$C$7,0)</f>
        <v/>
      </c>
      <c r="N5" s="39">
        <f>IF(M5=0,0,F5/M5)</f>
        <v/>
      </c>
    </row>
    <row r="6">
      <c r="A6" s="35" t="inlineStr">
        <is>
          <t>Сен 2026</t>
        </is>
      </c>
      <c r="B6" s="36">
        <f>Инструменты!B6</f>
        <v/>
      </c>
      <c r="C6" s="35">
        <f>Инструменты!D6</f>
        <v/>
      </c>
      <c r="D6" s="36">
        <f>Инструменты!E6</f>
        <v/>
      </c>
      <c r="E6" s="35">
        <f>Инструменты!G6</f>
        <v/>
      </c>
      <c r="F6" s="37">
        <f>ROUND(Инструменты!I6*VLOOKUP(A6,'Параметры плана'!$A$21:$B$32,2,FALSE),0)</f>
        <v/>
      </c>
      <c r="G6" s="38">
        <f>Инструменты!J6</f>
        <v/>
      </c>
      <c r="H6" s="37">
        <f>Инструменты!K6</f>
        <v/>
      </c>
      <c r="I6" s="37">
        <f>IF(G6=0,0,ROUND(J6/G6,0))</f>
        <v/>
      </c>
      <c r="J6" s="37">
        <f>IF(H6=0,0,ROUND(F6/H6,0))</f>
        <v/>
      </c>
      <c r="K6" s="38">
        <f>Инструменты!L6</f>
        <v/>
      </c>
      <c r="L6" s="37">
        <f>ROUND(J6*K6,0)</f>
        <v/>
      </c>
      <c r="M6" s="37">
        <f>ROUND(L6*'Параметры плана'!$C$7,0)</f>
        <v/>
      </c>
      <c r="N6" s="39">
        <f>IF(M6=0,0,F6/M6)</f>
        <v/>
      </c>
    </row>
    <row r="7">
      <c r="A7" s="35" t="inlineStr">
        <is>
          <t>Сен 2026</t>
        </is>
      </c>
      <c r="B7" s="36">
        <f>Инструменты!B7</f>
        <v/>
      </c>
      <c r="C7" s="35">
        <f>Инструменты!D7</f>
        <v/>
      </c>
      <c r="D7" s="36">
        <f>Инструменты!E7</f>
        <v/>
      </c>
      <c r="E7" s="35">
        <f>Инструменты!G7</f>
        <v/>
      </c>
      <c r="F7" s="37">
        <f>ROUND(Инструменты!I7*VLOOKUP(A7,'Параметры плана'!$A$21:$B$32,2,FALSE),0)</f>
        <v/>
      </c>
      <c r="G7" s="38">
        <f>Инструменты!J7</f>
        <v/>
      </c>
      <c r="H7" s="37">
        <f>Инструменты!K7</f>
        <v/>
      </c>
      <c r="I7" s="37">
        <f>IF(G7=0,0,ROUND(J7/G7,0))</f>
        <v/>
      </c>
      <c r="J7" s="37">
        <f>IF(H7=0,0,ROUND(F7/H7,0))</f>
        <v/>
      </c>
      <c r="K7" s="38">
        <f>Инструменты!L7</f>
        <v/>
      </c>
      <c r="L7" s="37">
        <f>ROUND(J7*K7,0)</f>
        <v/>
      </c>
      <c r="M7" s="37">
        <f>ROUND(L7*'Параметры плана'!$C$7,0)</f>
        <v/>
      </c>
      <c r="N7" s="39">
        <f>IF(M7=0,0,F7/M7)</f>
        <v/>
      </c>
    </row>
    <row r="8">
      <c r="A8" s="35" t="inlineStr">
        <is>
          <t>Сен 2026</t>
        </is>
      </c>
      <c r="B8" s="36">
        <f>Инструменты!B8</f>
        <v/>
      </c>
      <c r="C8" s="35">
        <f>Инструменты!D8</f>
        <v/>
      </c>
      <c r="D8" s="36">
        <f>Инструменты!E8</f>
        <v/>
      </c>
      <c r="E8" s="35">
        <f>Инструменты!G8</f>
        <v/>
      </c>
      <c r="F8" s="37">
        <f>ROUND(Инструменты!I8*VLOOKUP(A8,'Параметры плана'!$A$21:$B$32,2,FALSE),0)</f>
        <v/>
      </c>
      <c r="G8" s="38">
        <f>Инструменты!J8</f>
        <v/>
      </c>
      <c r="H8" s="37">
        <f>Инструменты!K8</f>
        <v/>
      </c>
      <c r="I8" s="37">
        <f>IF(G8=0,0,ROUND(J8/G8,0))</f>
        <v/>
      </c>
      <c r="J8" s="37">
        <f>IF(H8=0,0,ROUND(F8/H8,0))</f>
        <v/>
      </c>
      <c r="K8" s="38">
        <f>Инструменты!L8</f>
        <v/>
      </c>
      <c r="L8" s="37">
        <f>ROUND(J8*K8,0)</f>
        <v/>
      </c>
      <c r="M8" s="37">
        <f>ROUND(L8*'Параметры плана'!$C$7,0)</f>
        <v/>
      </c>
      <c r="N8" s="39">
        <f>IF(M8=0,0,F8/M8)</f>
        <v/>
      </c>
    </row>
    <row r="9">
      <c r="A9" s="35" t="inlineStr">
        <is>
          <t>Сен 2026</t>
        </is>
      </c>
      <c r="B9" s="36">
        <f>Инструменты!B9</f>
        <v/>
      </c>
      <c r="C9" s="35">
        <f>Инструменты!D9</f>
        <v/>
      </c>
      <c r="D9" s="36">
        <f>Инструменты!E9</f>
        <v/>
      </c>
      <c r="E9" s="35">
        <f>Инструменты!G9</f>
        <v/>
      </c>
      <c r="F9" s="37">
        <f>ROUND(Инструменты!I9*VLOOKUP(A9,'Параметры плана'!$A$21:$B$32,2,FALSE),0)</f>
        <v/>
      </c>
      <c r="G9" s="38">
        <f>Инструменты!J9</f>
        <v/>
      </c>
      <c r="H9" s="37">
        <f>Инструменты!K9</f>
        <v/>
      </c>
      <c r="I9" s="37">
        <f>IF(G9=0,0,ROUND(J9/G9,0))</f>
        <v/>
      </c>
      <c r="J9" s="37">
        <f>IF(H9=0,0,ROUND(F9/H9,0))</f>
        <v/>
      </c>
      <c r="K9" s="38">
        <f>Инструменты!L9</f>
        <v/>
      </c>
      <c r="L9" s="37">
        <f>ROUND(J9*K9,0)</f>
        <v/>
      </c>
      <c r="M9" s="37">
        <f>ROUND(L9*'Параметры плана'!$C$7,0)</f>
        <v/>
      </c>
      <c r="N9" s="39">
        <f>IF(M9=0,0,F9/M9)</f>
        <v/>
      </c>
    </row>
    <row r="10">
      <c r="A10" s="35" t="inlineStr">
        <is>
          <t>Сен 2026</t>
        </is>
      </c>
      <c r="B10" s="36">
        <f>Инструменты!B10</f>
        <v/>
      </c>
      <c r="C10" s="35">
        <f>Инструменты!D10</f>
        <v/>
      </c>
      <c r="D10" s="36">
        <f>Инструменты!E10</f>
        <v/>
      </c>
      <c r="E10" s="35">
        <f>Инструменты!G10</f>
        <v/>
      </c>
      <c r="F10" s="37">
        <f>ROUND(Инструменты!I10*VLOOKUP(A10,'Параметры плана'!$A$21:$B$32,2,FALSE),0)</f>
        <v/>
      </c>
      <c r="G10" s="38">
        <f>Инструменты!J10</f>
        <v/>
      </c>
      <c r="H10" s="37">
        <f>Инструменты!K10</f>
        <v/>
      </c>
      <c r="I10" s="37">
        <f>IF(G10=0,0,ROUND(J10/G10,0))</f>
        <v/>
      </c>
      <c r="J10" s="37">
        <f>IF(H10=0,0,ROUND(F10/H10,0))</f>
        <v/>
      </c>
      <c r="K10" s="38">
        <f>Инструменты!L10</f>
        <v/>
      </c>
      <c r="L10" s="37">
        <f>ROUND(J10*K10,0)</f>
        <v/>
      </c>
      <c r="M10" s="37">
        <f>ROUND(L10*'Параметры плана'!$C$7,0)</f>
        <v/>
      </c>
      <c r="N10" s="39">
        <f>IF(M10=0,0,F10/M10)</f>
        <v/>
      </c>
    </row>
    <row r="11">
      <c r="A11" s="22" t="inlineStr">
        <is>
          <t>Окт 2026</t>
        </is>
      </c>
      <c r="B11" s="14">
        <f>Инструменты!B5</f>
        <v/>
      </c>
      <c r="C11" s="22">
        <f>Инструменты!D5</f>
        <v/>
      </c>
      <c r="D11" s="14">
        <f>Инструменты!E5</f>
        <v/>
      </c>
      <c r="E11" s="22">
        <f>Инструменты!G5</f>
        <v/>
      </c>
      <c r="F11" s="24">
        <f>ROUND(Инструменты!I5*VLOOKUP(A11,'Параметры плана'!$A$21:$B$32,2,FALSE),0)</f>
        <v/>
      </c>
      <c r="G11" s="40">
        <f>Инструменты!J5</f>
        <v/>
      </c>
      <c r="H11" s="24">
        <f>Инструменты!K5</f>
        <v/>
      </c>
      <c r="I11" s="24">
        <f>IF(G11=0,0,ROUND(J11/G11,0))</f>
        <v/>
      </c>
      <c r="J11" s="24">
        <f>IF(H11=0,0,ROUND(F11/H11,0))</f>
        <v/>
      </c>
      <c r="K11" s="40">
        <f>Инструменты!L5</f>
        <v/>
      </c>
      <c r="L11" s="24">
        <f>ROUND(J11*K11,0)</f>
        <v/>
      </c>
      <c r="M11" s="24">
        <f>ROUND(L11*'Параметры плана'!$C$7,0)</f>
        <v/>
      </c>
      <c r="N11" s="41">
        <f>IF(M11=0,0,F11/M11)</f>
        <v/>
      </c>
    </row>
    <row r="12">
      <c r="A12" s="22" t="inlineStr">
        <is>
          <t>Окт 2026</t>
        </is>
      </c>
      <c r="B12" s="14">
        <f>Инструменты!B6</f>
        <v/>
      </c>
      <c r="C12" s="22">
        <f>Инструменты!D6</f>
        <v/>
      </c>
      <c r="D12" s="14">
        <f>Инструменты!E6</f>
        <v/>
      </c>
      <c r="E12" s="22">
        <f>Инструменты!G6</f>
        <v/>
      </c>
      <c r="F12" s="24">
        <f>ROUND(Инструменты!I6*VLOOKUP(A12,'Параметры плана'!$A$21:$B$32,2,FALSE),0)</f>
        <v/>
      </c>
      <c r="G12" s="40">
        <f>Инструменты!J6</f>
        <v/>
      </c>
      <c r="H12" s="24">
        <f>Инструменты!K6</f>
        <v/>
      </c>
      <c r="I12" s="24">
        <f>IF(G12=0,0,ROUND(J12/G12,0))</f>
        <v/>
      </c>
      <c r="J12" s="24">
        <f>IF(H12=0,0,ROUND(F12/H12,0))</f>
        <v/>
      </c>
      <c r="K12" s="40">
        <f>Инструменты!L6</f>
        <v/>
      </c>
      <c r="L12" s="24">
        <f>ROUND(J12*K12,0)</f>
        <v/>
      </c>
      <c r="M12" s="24">
        <f>ROUND(L12*'Параметры плана'!$C$7,0)</f>
        <v/>
      </c>
      <c r="N12" s="41">
        <f>IF(M12=0,0,F12/M12)</f>
        <v/>
      </c>
    </row>
    <row r="13">
      <c r="A13" s="22" t="inlineStr">
        <is>
          <t>Окт 2026</t>
        </is>
      </c>
      <c r="B13" s="14">
        <f>Инструменты!B7</f>
        <v/>
      </c>
      <c r="C13" s="22">
        <f>Инструменты!D7</f>
        <v/>
      </c>
      <c r="D13" s="14">
        <f>Инструменты!E7</f>
        <v/>
      </c>
      <c r="E13" s="22">
        <f>Инструменты!G7</f>
        <v/>
      </c>
      <c r="F13" s="24">
        <f>ROUND(Инструменты!I7*VLOOKUP(A13,'Параметры плана'!$A$21:$B$32,2,FALSE),0)</f>
        <v/>
      </c>
      <c r="G13" s="40">
        <f>Инструменты!J7</f>
        <v/>
      </c>
      <c r="H13" s="24">
        <f>Инструменты!K7</f>
        <v/>
      </c>
      <c r="I13" s="24">
        <f>IF(G13=0,0,ROUND(J13/G13,0))</f>
        <v/>
      </c>
      <c r="J13" s="24">
        <f>IF(H13=0,0,ROUND(F13/H13,0))</f>
        <v/>
      </c>
      <c r="K13" s="40">
        <f>Инструменты!L7</f>
        <v/>
      </c>
      <c r="L13" s="24">
        <f>ROUND(J13*K13,0)</f>
        <v/>
      </c>
      <c r="M13" s="24">
        <f>ROUND(L13*'Параметры плана'!$C$7,0)</f>
        <v/>
      </c>
      <c r="N13" s="41">
        <f>IF(M13=0,0,F13/M13)</f>
        <v/>
      </c>
    </row>
    <row r="14">
      <c r="A14" s="22" t="inlineStr">
        <is>
          <t>Окт 2026</t>
        </is>
      </c>
      <c r="B14" s="14">
        <f>Инструменты!B8</f>
        <v/>
      </c>
      <c r="C14" s="22">
        <f>Инструменты!D8</f>
        <v/>
      </c>
      <c r="D14" s="14">
        <f>Инструменты!E8</f>
        <v/>
      </c>
      <c r="E14" s="22">
        <f>Инструменты!G8</f>
        <v/>
      </c>
      <c r="F14" s="24">
        <f>ROUND(Инструменты!I8*VLOOKUP(A14,'Параметры плана'!$A$21:$B$32,2,FALSE),0)</f>
        <v/>
      </c>
      <c r="G14" s="40">
        <f>Инструменты!J8</f>
        <v/>
      </c>
      <c r="H14" s="24">
        <f>Инструменты!K8</f>
        <v/>
      </c>
      <c r="I14" s="24">
        <f>IF(G14=0,0,ROUND(J14/G14,0))</f>
        <v/>
      </c>
      <c r="J14" s="24">
        <f>IF(H14=0,0,ROUND(F14/H14,0))</f>
        <v/>
      </c>
      <c r="K14" s="40">
        <f>Инструменты!L8</f>
        <v/>
      </c>
      <c r="L14" s="24">
        <f>ROUND(J14*K14,0)</f>
        <v/>
      </c>
      <c r="M14" s="24">
        <f>ROUND(L14*'Параметры плана'!$C$7,0)</f>
        <v/>
      </c>
      <c r="N14" s="41">
        <f>IF(M14=0,0,F14/M14)</f>
        <v/>
      </c>
    </row>
    <row r="15">
      <c r="A15" s="22" t="inlineStr">
        <is>
          <t>Окт 2026</t>
        </is>
      </c>
      <c r="B15" s="14">
        <f>Инструменты!B9</f>
        <v/>
      </c>
      <c r="C15" s="22">
        <f>Инструменты!D9</f>
        <v/>
      </c>
      <c r="D15" s="14">
        <f>Инструменты!E9</f>
        <v/>
      </c>
      <c r="E15" s="22">
        <f>Инструменты!G9</f>
        <v/>
      </c>
      <c r="F15" s="24">
        <f>ROUND(Инструменты!I9*VLOOKUP(A15,'Параметры плана'!$A$21:$B$32,2,FALSE),0)</f>
        <v/>
      </c>
      <c r="G15" s="40">
        <f>Инструменты!J9</f>
        <v/>
      </c>
      <c r="H15" s="24">
        <f>Инструменты!K9</f>
        <v/>
      </c>
      <c r="I15" s="24">
        <f>IF(G15=0,0,ROUND(J15/G15,0))</f>
        <v/>
      </c>
      <c r="J15" s="24">
        <f>IF(H15=0,0,ROUND(F15/H15,0))</f>
        <v/>
      </c>
      <c r="K15" s="40">
        <f>Инструменты!L9</f>
        <v/>
      </c>
      <c r="L15" s="24">
        <f>ROUND(J15*K15,0)</f>
        <v/>
      </c>
      <c r="M15" s="24">
        <f>ROUND(L15*'Параметры плана'!$C$7,0)</f>
        <v/>
      </c>
      <c r="N15" s="41">
        <f>IF(M15=0,0,F15/M15)</f>
        <v/>
      </c>
    </row>
    <row r="16">
      <c r="A16" s="22" t="inlineStr">
        <is>
          <t>Окт 2026</t>
        </is>
      </c>
      <c r="B16" s="14">
        <f>Инструменты!B10</f>
        <v/>
      </c>
      <c r="C16" s="22">
        <f>Инструменты!D10</f>
        <v/>
      </c>
      <c r="D16" s="14">
        <f>Инструменты!E10</f>
        <v/>
      </c>
      <c r="E16" s="22">
        <f>Инструменты!G10</f>
        <v/>
      </c>
      <c r="F16" s="24">
        <f>ROUND(Инструменты!I10*VLOOKUP(A16,'Параметры плана'!$A$21:$B$32,2,FALSE),0)</f>
        <v/>
      </c>
      <c r="G16" s="40">
        <f>Инструменты!J10</f>
        <v/>
      </c>
      <c r="H16" s="24">
        <f>Инструменты!K10</f>
        <v/>
      </c>
      <c r="I16" s="24">
        <f>IF(G16=0,0,ROUND(J16/G16,0))</f>
        <v/>
      </c>
      <c r="J16" s="24">
        <f>IF(H16=0,0,ROUND(F16/H16,0))</f>
        <v/>
      </c>
      <c r="K16" s="40">
        <f>Инструменты!L10</f>
        <v/>
      </c>
      <c r="L16" s="24">
        <f>ROUND(J16*K16,0)</f>
        <v/>
      </c>
      <c r="M16" s="24">
        <f>ROUND(L16*'Параметры плана'!$C$7,0)</f>
        <v/>
      </c>
      <c r="N16" s="41">
        <f>IF(M16=0,0,F16/M16)</f>
        <v/>
      </c>
    </row>
    <row r="17">
      <c r="A17" s="35" t="inlineStr">
        <is>
          <t>Ноя 2026</t>
        </is>
      </c>
      <c r="B17" s="36">
        <f>Инструменты!B5</f>
        <v/>
      </c>
      <c r="C17" s="35">
        <f>Инструменты!D5</f>
        <v/>
      </c>
      <c r="D17" s="36">
        <f>Инструменты!E5</f>
        <v/>
      </c>
      <c r="E17" s="35">
        <f>Инструменты!G5</f>
        <v/>
      </c>
      <c r="F17" s="37">
        <f>ROUND(Инструменты!I5*VLOOKUP(A17,'Параметры плана'!$A$21:$B$32,2,FALSE),0)</f>
        <v/>
      </c>
      <c r="G17" s="38">
        <f>Инструменты!J5</f>
        <v/>
      </c>
      <c r="H17" s="37">
        <f>Инструменты!K5</f>
        <v/>
      </c>
      <c r="I17" s="37">
        <f>IF(G17=0,0,ROUND(J17/G17,0))</f>
        <v/>
      </c>
      <c r="J17" s="37">
        <f>IF(H17=0,0,ROUND(F17/H17,0))</f>
        <v/>
      </c>
      <c r="K17" s="38">
        <f>Инструменты!L5</f>
        <v/>
      </c>
      <c r="L17" s="37">
        <f>ROUND(J17*K17,0)</f>
        <v/>
      </c>
      <c r="M17" s="37">
        <f>ROUND(L17*'Параметры плана'!$C$7,0)</f>
        <v/>
      </c>
      <c r="N17" s="39">
        <f>IF(M17=0,0,F17/M17)</f>
        <v/>
      </c>
    </row>
    <row r="18">
      <c r="A18" s="35" t="inlineStr">
        <is>
          <t>Ноя 2026</t>
        </is>
      </c>
      <c r="B18" s="36">
        <f>Инструменты!B6</f>
        <v/>
      </c>
      <c r="C18" s="35">
        <f>Инструменты!D6</f>
        <v/>
      </c>
      <c r="D18" s="36">
        <f>Инструменты!E6</f>
        <v/>
      </c>
      <c r="E18" s="35">
        <f>Инструменты!G6</f>
        <v/>
      </c>
      <c r="F18" s="37">
        <f>ROUND(Инструменты!I6*VLOOKUP(A18,'Параметры плана'!$A$21:$B$32,2,FALSE),0)</f>
        <v/>
      </c>
      <c r="G18" s="38">
        <f>Инструменты!J6</f>
        <v/>
      </c>
      <c r="H18" s="37">
        <f>Инструменты!K6</f>
        <v/>
      </c>
      <c r="I18" s="37">
        <f>IF(G18=0,0,ROUND(J18/G18,0))</f>
        <v/>
      </c>
      <c r="J18" s="37">
        <f>IF(H18=0,0,ROUND(F18/H18,0))</f>
        <v/>
      </c>
      <c r="K18" s="38">
        <f>Инструменты!L6</f>
        <v/>
      </c>
      <c r="L18" s="37">
        <f>ROUND(J18*K18,0)</f>
        <v/>
      </c>
      <c r="M18" s="37">
        <f>ROUND(L18*'Параметры плана'!$C$7,0)</f>
        <v/>
      </c>
      <c r="N18" s="39">
        <f>IF(M18=0,0,F18/M18)</f>
        <v/>
      </c>
    </row>
    <row r="19">
      <c r="A19" s="35" t="inlineStr">
        <is>
          <t>Ноя 2026</t>
        </is>
      </c>
      <c r="B19" s="36">
        <f>Инструменты!B7</f>
        <v/>
      </c>
      <c r="C19" s="35">
        <f>Инструменты!D7</f>
        <v/>
      </c>
      <c r="D19" s="36">
        <f>Инструменты!E7</f>
        <v/>
      </c>
      <c r="E19" s="35">
        <f>Инструменты!G7</f>
        <v/>
      </c>
      <c r="F19" s="37">
        <f>ROUND(Инструменты!I7*VLOOKUP(A19,'Параметры плана'!$A$21:$B$32,2,FALSE),0)</f>
        <v/>
      </c>
      <c r="G19" s="38">
        <f>Инструменты!J7</f>
        <v/>
      </c>
      <c r="H19" s="37">
        <f>Инструменты!K7</f>
        <v/>
      </c>
      <c r="I19" s="37">
        <f>IF(G19=0,0,ROUND(J19/G19,0))</f>
        <v/>
      </c>
      <c r="J19" s="37">
        <f>IF(H19=0,0,ROUND(F19/H19,0))</f>
        <v/>
      </c>
      <c r="K19" s="38">
        <f>Инструменты!L7</f>
        <v/>
      </c>
      <c r="L19" s="37">
        <f>ROUND(J19*K19,0)</f>
        <v/>
      </c>
      <c r="M19" s="37">
        <f>ROUND(L19*'Параметры плана'!$C$7,0)</f>
        <v/>
      </c>
      <c r="N19" s="39">
        <f>IF(M19=0,0,F19/M19)</f>
        <v/>
      </c>
    </row>
    <row r="20">
      <c r="A20" s="35" t="inlineStr">
        <is>
          <t>Ноя 2026</t>
        </is>
      </c>
      <c r="B20" s="36">
        <f>Инструменты!B8</f>
        <v/>
      </c>
      <c r="C20" s="35">
        <f>Инструменты!D8</f>
        <v/>
      </c>
      <c r="D20" s="36">
        <f>Инструменты!E8</f>
        <v/>
      </c>
      <c r="E20" s="35">
        <f>Инструменты!G8</f>
        <v/>
      </c>
      <c r="F20" s="37">
        <f>ROUND(Инструменты!I8*VLOOKUP(A20,'Параметры плана'!$A$21:$B$32,2,FALSE),0)</f>
        <v/>
      </c>
      <c r="G20" s="38">
        <f>Инструменты!J8</f>
        <v/>
      </c>
      <c r="H20" s="37">
        <f>Инструменты!K8</f>
        <v/>
      </c>
      <c r="I20" s="37">
        <f>IF(G20=0,0,ROUND(J20/G20,0))</f>
        <v/>
      </c>
      <c r="J20" s="37">
        <f>IF(H20=0,0,ROUND(F20/H20,0))</f>
        <v/>
      </c>
      <c r="K20" s="38">
        <f>Инструменты!L8</f>
        <v/>
      </c>
      <c r="L20" s="37">
        <f>ROUND(J20*K20,0)</f>
        <v/>
      </c>
      <c r="M20" s="37">
        <f>ROUND(L20*'Параметры плана'!$C$7,0)</f>
        <v/>
      </c>
      <c r="N20" s="39">
        <f>IF(M20=0,0,F20/M20)</f>
        <v/>
      </c>
    </row>
    <row r="21">
      <c r="A21" s="35" t="inlineStr">
        <is>
          <t>Ноя 2026</t>
        </is>
      </c>
      <c r="B21" s="36">
        <f>Инструменты!B9</f>
        <v/>
      </c>
      <c r="C21" s="35">
        <f>Инструменты!D9</f>
        <v/>
      </c>
      <c r="D21" s="36">
        <f>Инструменты!E9</f>
        <v/>
      </c>
      <c r="E21" s="35">
        <f>Инструменты!G9</f>
        <v/>
      </c>
      <c r="F21" s="37">
        <f>ROUND(Инструменты!I9*VLOOKUP(A21,'Параметры плана'!$A$21:$B$32,2,FALSE),0)</f>
        <v/>
      </c>
      <c r="G21" s="38">
        <f>Инструменты!J9</f>
        <v/>
      </c>
      <c r="H21" s="37">
        <f>Инструменты!K9</f>
        <v/>
      </c>
      <c r="I21" s="37">
        <f>IF(G21=0,0,ROUND(J21/G21,0))</f>
        <v/>
      </c>
      <c r="J21" s="37">
        <f>IF(H21=0,0,ROUND(F21/H21,0))</f>
        <v/>
      </c>
      <c r="K21" s="38">
        <f>Инструменты!L9</f>
        <v/>
      </c>
      <c r="L21" s="37">
        <f>ROUND(J21*K21,0)</f>
        <v/>
      </c>
      <c r="M21" s="37">
        <f>ROUND(L21*'Параметры плана'!$C$7,0)</f>
        <v/>
      </c>
      <c r="N21" s="39">
        <f>IF(M21=0,0,F21/M21)</f>
        <v/>
      </c>
    </row>
    <row r="22">
      <c r="A22" s="35" t="inlineStr">
        <is>
          <t>Ноя 2026</t>
        </is>
      </c>
      <c r="B22" s="36">
        <f>Инструменты!B10</f>
        <v/>
      </c>
      <c r="C22" s="35">
        <f>Инструменты!D10</f>
        <v/>
      </c>
      <c r="D22" s="36">
        <f>Инструменты!E10</f>
        <v/>
      </c>
      <c r="E22" s="35">
        <f>Инструменты!G10</f>
        <v/>
      </c>
      <c r="F22" s="37">
        <f>ROUND(Инструменты!I10*VLOOKUP(A22,'Параметры плана'!$A$21:$B$32,2,FALSE),0)</f>
        <v/>
      </c>
      <c r="G22" s="38">
        <f>Инструменты!J10</f>
        <v/>
      </c>
      <c r="H22" s="37">
        <f>Инструменты!K10</f>
        <v/>
      </c>
      <c r="I22" s="37">
        <f>IF(G22=0,0,ROUND(J22/G22,0))</f>
        <v/>
      </c>
      <c r="J22" s="37">
        <f>IF(H22=0,0,ROUND(F22/H22,0))</f>
        <v/>
      </c>
      <c r="K22" s="38">
        <f>Инструменты!L10</f>
        <v/>
      </c>
      <c r="L22" s="37">
        <f>ROUND(J22*K22,0)</f>
        <v/>
      </c>
      <c r="M22" s="37">
        <f>ROUND(L22*'Параметры плана'!$C$7,0)</f>
        <v/>
      </c>
      <c r="N22" s="39">
        <f>IF(M22=0,0,F22/M22)</f>
        <v/>
      </c>
    </row>
    <row r="23">
      <c r="A23" s="22" t="inlineStr">
        <is>
          <t>Дек 2026</t>
        </is>
      </c>
      <c r="B23" s="14">
        <f>Инструменты!B5</f>
        <v/>
      </c>
      <c r="C23" s="22">
        <f>Инструменты!D5</f>
        <v/>
      </c>
      <c r="D23" s="14">
        <f>Инструменты!E5</f>
        <v/>
      </c>
      <c r="E23" s="22">
        <f>Инструменты!G5</f>
        <v/>
      </c>
      <c r="F23" s="24">
        <f>ROUND(Инструменты!I5*VLOOKUP(A23,'Параметры плана'!$A$21:$B$32,2,FALSE),0)</f>
        <v/>
      </c>
      <c r="G23" s="40">
        <f>Инструменты!J5</f>
        <v/>
      </c>
      <c r="H23" s="24">
        <f>Инструменты!K5</f>
        <v/>
      </c>
      <c r="I23" s="24">
        <f>IF(G23=0,0,ROUND(J23/G23,0))</f>
        <v/>
      </c>
      <c r="J23" s="24">
        <f>IF(H23=0,0,ROUND(F23/H23,0))</f>
        <v/>
      </c>
      <c r="K23" s="40">
        <f>Инструменты!L5</f>
        <v/>
      </c>
      <c r="L23" s="24">
        <f>ROUND(J23*K23,0)</f>
        <v/>
      </c>
      <c r="M23" s="24">
        <f>ROUND(L23*'Параметры плана'!$C$7,0)</f>
        <v/>
      </c>
      <c r="N23" s="41">
        <f>IF(M23=0,0,F23/M23)</f>
        <v/>
      </c>
    </row>
    <row r="24">
      <c r="A24" s="22" t="inlineStr">
        <is>
          <t>Дек 2026</t>
        </is>
      </c>
      <c r="B24" s="14">
        <f>Инструменты!B6</f>
        <v/>
      </c>
      <c r="C24" s="22">
        <f>Инструменты!D6</f>
        <v/>
      </c>
      <c r="D24" s="14">
        <f>Инструменты!E6</f>
        <v/>
      </c>
      <c r="E24" s="22">
        <f>Инструменты!G6</f>
        <v/>
      </c>
      <c r="F24" s="24">
        <f>ROUND(Инструменты!I6*VLOOKUP(A24,'Параметры плана'!$A$21:$B$32,2,FALSE),0)</f>
        <v/>
      </c>
      <c r="G24" s="40">
        <f>Инструменты!J6</f>
        <v/>
      </c>
      <c r="H24" s="24">
        <f>Инструменты!K6</f>
        <v/>
      </c>
      <c r="I24" s="24">
        <f>IF(G24=0,0,ROUND(J24/G24,0))</f>
        <v/>
      </c>
      <c r="J24" s="24">
        <f>IF(H24=0,0,ROUND(F24/H24,0))</f>
        <v/>
      </c>
      <c r="K24" s="40">
        <f>Инструменты!L6</f>
        <v/>
      </c>
      <c r="L24" s="24">
        <f>ROUND(J24*K24,0)</f>
        <v/>
      </c>
      <c r="M24" s="24">
        <f>ROUND(L24*'Параметры плана'!$C$7,0)</f>
        <v/>
      </c>
      <c r="N24" s="41">
        <f>IF(M24=0,0,F24/M24)</f>
        <v/>
      </c>
    </row>
    <row r="25">
      <c r="A25" s="22" t="inlineStr">
        <is>
          <t>Дек 2026</t>
        </is>
      </c>
      <c r="B25" s="14">
        <f>Инструменты!B7</f>
        <v/>
      </c>
      <c r="C25" s="22">
        <f>Инструменты!D7</f>
        <v/>
      </c>
      <c r="D25" s="14">
        <f>Инструменты!E7</f>
        <v/>
      </c>
      <c r="E25" s="22">
        <f>Инструменты!G7</f>
        <v/>
      </c>
      <c r="F25" s="24">
        <f>ROUND(Инструменты!I7*VLOOKUP(A25,'Параметры плана'!$A$21:$B$32,2,FALSE),0)</f>
        <v/>
      </c>
      <c r="G25" s="40">
        <f>Инструменты!J7</f>
        <v/>
      </c>
      <c r="H25" s="24">
        <f>Инструменты!K7</f>
        <v/>
      </c>
      <c r="I25" s="24">
        <f>IF(G25=0,0,ROUND(J25/G25,0))</f>
        <v/>
      </c>
      <c r="J25" s="24">
        <f>IF(H25=0,0,ROUND(F25/H25,0))</f>
        <v/>
      </c>
      <c r="K25" s="40">
        <f>Инструменты!L7</f>
        <v/>
      </c>
      <c r="L25" s="24">
        <f>ROUND(J25*K25,0)</f>
        <v/>
      </c>
      <c r="M25" s="24">
        <f>ROUND(L25*'Параметры плана'!$C$7,0)</f>
        <v/>
      </c>
      <c r="N25" s="41">
        <f>IF(M25=0,0,F25/M25)</f>
        <v/>
      </c>
    </row>
    <row r="26">
      <c r="A26" s="22" t="inlineStr">
        <is>
          <t>Дек 2026</t>
        </is>
      </c>
      <c r="B26" s="14">
        <f>Инструменты!B8</f>
        <v/>
      </c>
      <c r="C26" s="22">
        <f>Инструменты!D8</f>
        <v/>
      </c>
      <c r="D26" s="14">
        <f>Инструменты!E8</f>
        <v/>
      </c>
      <c r="E26" s="22">
        <f>Инструменты!G8</f>
        <v/>
      </c>
      <c r="F26" s="24">
        <f>ROUND(Инструменты!I8*VLOOKUP(A26,'Параметры плана'!$A$21:$B$32,2,FALSE),0)</f>
        <v/>
      </c>
      <c r="G26" s="40">
        <f>Инструменты!J8</f>
        <v/>
      </c>
      <c r="H26" s="24">
        <f>Инструменты!K8</f>
        <v/>
      </c>
      <c r="I26" s="24">
        <f>IF(G26=0,0,ROUND(J26/G26,0))</f>
        <v/>
      </c>
      <c r="J26" s="24">
        <f>IF(H26=0,0,ROUND(F26/H26,0))</f>
        <v/>
      </c>
      <c r="K26" s="40">
        <f>Инструменты!L8</f>
        <v/>
      </c>
      <c r="L26" s="24">
        <f>ROUND(J26*K26,0)</f>
        <v/>
      </c>
      <c r="M26" s="24">
        <f>ROUND(L26*'Параметры плана'!$C$7,0)</f>
        <v/>
      </c>
      <c r="N26" s="41">
        <f>IF(M26=0,0,F26/M26)</f>
        <v/>
      </c>
    </row>
    <row r="27">
      <c r="A27" s="22" t="inlineStr">
        <is>
          <t>Дек 2026</t>
        </is>
      </c>
      <c r="B27" s="14">
        <f>Инструменты!B9</f>
        <v/>
      </c>
      <c r="C27" s="22">
        <f>Инструменты!D9</f>
        <v/>
      </c>
      <c r="D27" s="14">
        <f>Инструменты!E9</f>
        <v/>
      </c>
      <c r="E27" s="22">
        <f>Инструменты!G9</f>
        <v/>
      </c>
      <c r="F27" s="24">
        <f>ROUND(Инструменты!I9*VLOOKUP(A27,'Параметры плана'!$A$21:$B$32,2,FALSE),0)</f>
        <v/>
      </c>
      <c r="G27" s="40">
        <f>Инструменты!J9</f>
        <v/>
      </c>
      <c r="H27" s="24">
        <f>Инструменты!K9</f>
        <v/>
      </c>
      <c r="I27" s="24">
        <f>IF(G27=0,0,ROUND(J27/G27,0))</f>
        <v/>
      </c>
      <c r="J27" s="24">
        <f>IF(H27=0,0,ROUND(F27/H27,0))</f>
        <v/>
      </c>
      <c r="K27" s="40">
        <f>Инструменты!L9</f>
        <v/>
      </c>
      <c r="L27" s="24">
        <f>ROUND(J27*K27,0)</f>
        <v/>
      </c>
      <c r="M27" s="24">
        <f>ROUND(L27*'Параметры плана'!$C$7,0)</f>
        <v/>
      </c>
      <c r="N27" s="41">
        <f>IF(M27=0,0,F27/M27)</f>
        <v/>
      </c>
    </row>
    <row r="28">
      <c r="A28" s="22" t="inlineStr">
        <is>
          <t>Дек 2026</t>
        </is>
      </c>
      <c r="B28" s="14">
        <f>Инструменты!B10</f>
        <v/>
      </c>
      <c r="C28" s="22">
        <f>Инструменты!D10</f>
        <v/>
      </c>
      <c r="D28" s="14">
        <f>Инструменты!E10</f>
        <v/>
      </c>
      <c r="E28" s="22">
        <f>Инструменты!G10</f>
        <v/>
      </c>
      <c r="F28" s="24">
        <f>ROUND(Инструменты!I10*VLOOKUP(A28,'Параметры плана'!$A$21:$B$32,2,FALSE),0)</f>
        <v/>
      </c>
      <c r="G28" s="40">
        <f>Инструменты!J10</f>
        <v/>
      </c>
      <c r="H28" s="24">
        <f>Инструменты!K10</f>
        <v/>
      </c>
      <c r="I28" s="24">
        <f>IF(G28=0,0,ROUND(J28/G28,0))</f>
        <v/>
      </c>
      <c r="J28" s="24">
        <f>IF(H28=0,0,ROUND(F28/H28,0))</f>
        <v/>
      </c>
      <c r="K28" s="40">
        <f>Инструменты!L10</f>
        <v/>
      </c>
      <c r="L28" s="24">
        <f>ROUND(J28*K28,0)</f>
        <v/>
      </c>
      <c r="M28" s="24">
        <f>ROUND(L28*'Параметры плана'!$C$7,0)</f>
        <v/>
      </c>
      <c r="N28" s="41">
        <f>IF(M28=0,0,F28/M28)</f>
        <v/>
      </c>
    </row>
    <row r="29">
      <c r="A29" s="35" t="inlineStr">
        <is>
          <t>Янв 2027</t>
        </is>
      </c>
      <c r="B29" s="36">
        <f>Инструменты!B5</f>
        <v/>
      </c>
      <c r="C29" s="35">
        <f>Инструменты!D5</f>
        <v/>
      </c>
      <c r="D29" s="36">
        <f>Инструменты!E5</f>
        <v/>
      </c>
      <c r="E29" s="35">
        <f>Инструменты!G5</f>
        <v/>
      </c>
      <c r="F29" s="37">
        <f>ROUND(Инструменты!I5*VLOOKUP(A29,'Параметры плана'!$A$21:$B$32,2,FALSE),0)</f>
        <v/>
      </c>
      <c r="G29" s="38">
        <f>Инструменты!J5</f>
        <v/>
      </c>
      <c r="H29" s="37">
        <f>Инструменты!K5</f>
        <v/>
      </c>
      <c r="I29" s="37">
        <f>IF(G29=0,0,ROUND(J29/G29,0))</f>
        <v/>
      </c>
      <c r="J29" s="37">
        <f>IF(H29=0,0,ROUND(F29/H29,0))</f>
        <v/>
      </c>
      <c r="K29" s="38">
        <f>Инструменты!L5</f>
        <v/>
      </c>
      <c r="L29" s="37">
        <f>ROUND(J29*K29,0)</f>
        <v/>
      </c>
      <c r="M29" s="37">
        <f>ROUND(L29*'Параметры плана'!$C$7,0)</f>
        <v/>
      </c>
      <c r="N29" s="39">
        <f>IF(M29=0,0,F29/M29)</f>
        <v/>
      </c>
    </row>
    <row r="30">
      <c r="A30" s="35" t="inlineStr">
        <is>
          <t>Янв 2027</t>
        </is>
      </c>
      <c r="B30" s="36">
        <f>Инструменты!B6</f>
        <v/>
      </c>
      <c r="C30" s="35">
        <f>Инструменты!D6</f>
        <v/>
      </c>
      <c r="D30" s="36">
        <f>Инструменты!E6</f>
        <v/>
      </c>
      <c r="E30" s="35">
        <f>Инструменты!G6</f>
        <v/>
      </c>
      <c r="F30" s="37">
        <f>ROUND(Инструменты!I6*VLOOKUP(A30,'Параметры плана'!$A$21:$B$32,2,FALSE),0)</f>
        <v/>
      </c>
      <c r="G30" s="38">
        <f>Инструменты!J6</f>
        <v/>
      </c>
      <c r="H30" s="37">
        <f>Инструменты!K6</f>
        <v/>
      </c>
      <c r="I30" s="37">
        <f>IF(G30=0,0,ROUND(J30/G30,0))</f>
        <v/>
      </c>
      <c r="J30" s="37">
        <f>IF(H30=0,0,ROUND(F30/H30,0))</f>
        <v/>
      </c>
      <c r="K30" s="38">
        <f>Инструменты!L6</f>
        <v/>
      </c>
      <c r="L30" s="37">
        <f>ROUND(J30*K30,0)</f>
        <v/>
      </c>
      <c r="M30" s="37">
        <f>ROUND(L30*'Параметры плана'!$C$7,0)</f>
        <v/>
      </c>
      <c r="N30" s="39">
        <f>IF(M30=0,0,F30/M30)</f>
        <v/>
      </c>
    </row>
    <row r="31">
      <c r="A31" s="35" t="inlineStr">
        <is>
          <t>Янв 2027</t>
        </is>
      </c>
      <c r="B31" s="36">
        <f>Инструменты!B7</f>
        <v/>
      </c>
      <c r="C31" s="35">
        <f>Инструменты!D7</f>
        <v/>
      </c>
      <c r="D31" s="36">
        <f>Инструменты!E7</f>
        <v/>
      </c>
      <c r="E31" s="35">
        <f>Инструменты!G7</f>
        <v/>
      </c>
      <c r="F31" s="37">
        <f>ROUND(Инструменты!I7*VLOOKUP(A31,'Параметры плана'!$A$21:$B$32,2,FALSE),0)</f>
        <v/>
      </c>
      <c r="G31" s="38">
        <f>Инструменты!J7</f>
        <v/>
      </c>
      <c r="H31" s="37">
        <f>Инструменты!K7</f>
        <v/>
      </c>
      <c r="I31" s="37">
        <f>IF(G31=0,0,ROUND(J31/G31,0))</f>
        <v/>
      </c>
      <c r="J31" s="37">
        <f>IF(H31=0,0,ROUND(F31/H31,0))</f>
        <v/>
      </c>
      <c r="K31" s="38">
        <f>Инструменты!L7</f>
        <v/>
      </c>
      <c r="L31" s="37">
        <f>ROUND(J31*K31,0)</f>
        <v/>
      </c>
      <c r="M31" s="37">
        <f>ROUND(L31*'Параметры плана'!$C$7,0)</f>
        <v/>
      </c>
      <c r="N31" s="39">
        <f>IF(M31=0,0,F31/M31)</f>
        <v/>
      </c>
    </row>
    <row r="32">
      <c r="A32" s="35" t="inlineStr">
        <is>
          <t>Янв 2027</t>
        </is>
      </c>
      <c r="B32" s="36">
        <f>Инструменты!B8</f>
        <v/>
      </c>
      <c r="C32" s="35">
        <f>Инструменты!D8</f>
        <v/>
      </c>
      <c r="D32" s="36">
        <f>Инструменты!E8</f>
        <v/>
      </c>
      <c r="E32" s="35">
        <f>Инструменты!G8</f>
        <v/>
      </c>
      <c r="F32" s="37">
        <f>ROUND(Инструменты!I8*VLOOKUP(A32,'Параметры плана'!$A$21:$B$32,2,FALSE),0)</f>
        <v/>
      </c>
      <c r="G32" s="38">
        <f>Инструменты!J8</f>
        <v/>
      </c>
      <c r="H32" s="37">
        <f>Инструменты!K8</f>
        <v/>
      </c>
      <c r="I32" s="37">
        <f>IF(G32=0,0,ROUND(J32/G32,0))</f>
        <v/>
      </c>
      <c r="J32" s="37">
        <f>IF(H32=0,0,ROUND(F32/H32,0))</f>
        <v/>
      </c>
      <c r="K32" s="38">
        <f>Инструменты!L8</f>
        <v/>
      </c>
      <c r="L32" s="37">
        <f>ROUND(J32*K32,0)</f>
        <v/>
      </c>
      <c r="M32" s="37">
        <f>ROUND(L32*'Параметры плана'!$C$7,0)</f>
        <v/>
      </c>
      <c r="N32" s="39">
        <f>IF(M32=0,0,F32/M32)</f>
        <v/>
      </c>
    </row>
    <row r="33">
      <c r="A33" s="35" t="inlineStr">
        <is>
          <t>Янв 2027</t>
        </is>
      </c>
      <c r="B33" s="36">
        <f>Инструменты!B9</f>
        <v/>
      </c>
      <c r="C33" s="35">
        <f>Инструменты!D9</f>
        <v/>
      </c>
      <c r="D33" s="36">
        <f>Инструменты!E9</f>
        <v/>
      </c>
      <c r="E33" s="35">
        <f>Инструменты!G9</f>
        <v/>
      </c>
      <c r="F33" s="37">
        <f>ROUND(Инструменты!I9*VLOOKUP(A33,'Параметры плана'!$A$21:$B$32,2,FALSE),0)</f>
        <v/>
      </c>
      <c r="G33" s="38">
        <f>Инструменты!J9</f>
        <v/>
      </c>
      <c r="H33" s="37">
        <f>Инструменты!K9</f>
        <v/>
      </c>
      <c r="I33" s="37">
        <f>IF(G33=0,0,ROUND(J33/G33,0))</f>
        <v/>
      </c>
      <c r="J33" s="37">
        <f>IF(H33=0,0,ROUND(F33/H33,0))</f>
        <v/>
      </c>
      <c r="K33" s="38">
        <f>Инструменты!L9</f>
        <v/>
      </c>
      <c r="L33" s="37">
        <f>ROUND(J33*K33,0)</f>
        <v/>
      </c>
      <c r="M33" s="37">
        <f>ROUND(L33*'Параметры плана'!$C$7,0)</f>
        <v/>
      </c>
      <c r="N33" s="39">
        <f>IF(M33=0,0,F33/M33)</f>
        <v/>
      </c>
    </row>
    <row r="34">
      <c r="A34" s="35" t="inlineStr">
        <is>
          <t>Янв 2027</t>
        </is>
      </c>
      <c r="B34" s="36">
        <f>Инструменты!B10</f>
        <v/>
      </c>
      <c r="C34" s="35">
        <f>Инструменты!D10</f>
        <v/>
      </c>
      <c r="D34" s="36">
        <f>Инструменты!E10</f>
        <v/>
      </c>
      <c r="E34" s="35">
        <f>Инструменты!G10</f>
        <v/>
      </c>
      <c r="F34" s="37">
        <f>ROUND(Инструменты!I10*VLOOKUP(A34,'Параметры плана'!$A$21:$B$32,2,FALSE),0)</f>
        <v/>
      </c>
      <c r="G34" s="38">
        <f>Инструменты!J10</f>
        <v/>
      </c>
      <c r="H34" s="37">
        <f>Инструменты!K10</f>
        <v/>
      </c>
      <c r="I34" s="37">
        <f>IF(G34=0,0,ROUND(J34/G34,0))</f>
        <v/>
      </c>
      <c r="J34" s="37">
        <f>IF(H34=0,0,ROUND(F34/H34,0))</f>
        <v/>
      </c>
      <c r="K34" s="38">
        <f>Инструменты!L10</f>
        <v/>
      </c>
      <c r="L34" s="37">
        <f>ROUND(J34*K34,0)</f>
        <v/>
      </c>
      <c r="M34" s="37">
        <f>ROUND(L34*'Параметры плана'!$C$7,0)</f>
        <v/>
      </c>
      <c r="N34" s="39">
        <f>IF(M34=0,0,F34/M34)</f>
        <v/>
      </c>
    </row>
    <row r="35">
      <c r="A35" s="22" t="inlineStr">
        <is>
          <t>Фев 2027</t>
        </is>
      </c>
      <c r="B35" s="14">
        <f>Инструменты!B5</f>
        <v/>
      </c>
      <c r="C35" s="22">
        <f>Инструменты!D5</f>
        <v/>
      </c>
      <c r="D35" s="14">
        <f>Инструменты!E5</f>
        <v/>
      </c>
      <c r="E35" s="22">
        <f>Инструменты!G5</f>
        <v/>
      </c>
      <c r="F35" s="24">
        <f>ROUND(Инструменты!I5*VLOOKUP(A35,'Параметры плана'!$A$21:$B$32,2,FALSE),0)</f>
        <v/>
      </c>
      <c r="G35" s="40">
        <f>Инструменты!J5</f>
        <v/>
      </c>
      <c r="H35" s="24">
        <f>Инструменты!K5</f>
        <v/>
      </c>
      <c r="I35" s="24">
        <f>IF(G35=0,0,ROUND(J35/G35,0))</f>
        <v/>
      </c>
      <c r="J35" s="24">
        <f>IF(H35=0,0,ROUND(F35/H35,0))</f>
        <v/>
      </c>
      <c r="K35" s="40">
        <f>Инструменты!L5</f>
        <v/>
      </c>
      <c r="L35" s="24">
        <f>ROUND(J35*K35,0)</f>
        <v/>
      </c>
      <c r="M35" s="24">
        <f>ROUND(L35*'Параметры плана'!$C$7,0)</f>
        <v/>
      </c>
      <c r="N35" s="41">
        <f>IF(M35=0,0,F35/M35)</f>
        <v/>
      </c>
    </row>
    <row r="36">
      <c r="A36" s="22" t="inlineStr">
        <is>
          <t>Фев 2027</t>
        </is>
      </c>
      <c r="B36" s="14">
        <f>Инструменты!B6</f>
        <v/>
      </c>
      <c r="C36" s="22">
        <f>Инструменты!D6</f>
        <v/>
      </c>
      <c r="D36" s="14">
        <f>Инструменты!E6</f>
        <v/>
      </c>
      <c r="E36" s="22">
        <f>Инструменты!G6</f>
        <v/>
      </c>
      <c r="F36" s="24">
        <f>ROUND(Инструменты!I6*VLOOKUP(A36,'Параметры плана'!$A$21:$B$32,2,FALSE),0)</f>
        <v/>
      </c>
      <c r="G36" s="40">
        <f>Инструменты!J6</f>
        <v/>
      </c>
      <c r="H36" s="24">
        <f>Инструменты!K6</f>
        <v/>
      </c>
      <c r="I36" s="24">
        <f>IF(G36=0,0,ROUND(J36/G36,0))</f>
        <v/>
      </c>
      <c r="J36" s="24">
        <f>IF(H36=0,0,ROUND(F36/H36,0))</f>
        <v/>
      </c>
      <c r="K36" s="40">
        <f>Инструменты!L6</f>
        <v/>
      </c>
      <c r="L36" s="24">
        <f>ROUND(J36*K36,0)</f>
        <v/>
      </c>
      <c r="M36" s="24">
        <f>ROUND(L36*'Параметры плана'!$C$7,0)</f>
        <v/>
      </c>
      <c r="N36" s="41">
        <f>IF(M36=0,0,F36/M36)</f>
        <v/>
      </c>
    </row>
    <row r="37">
      <c r="A37" s="22" t="inlineStr">
        <is>
          <t>Фев 2027</t>
        </is>
      </c>
      <c r="B37" s="14">
        <f>Инструменты!B7</f>
        <v/>
      </c>
      <c r="C37" s="22">
        <f>Инструменты!D7</f>
        <v/>
      </c>
      <c r="D37" s="14">
        <f>Инструменты!E7</f>
        <v/>
      </c>
      <c r="E37" s="22">
        <f>Инструменты!G7</f>
        <v/>
      </c>
      <c r="F37" s="24">
        <f>ROUND(Инструменты!I7*VLOOKUP(A37,'Параметры плана'!$A$21:$B$32,2,FALSE),0)</f>
        <v/>
      </c>
      <c r="G37" s="40">
        <f>Инструменты!J7</f>
        <v/>
      </c>
      <c r="H37" s="24">
        <f>Инструменты!K7</f>
        <v/>
      </c>
      <c r="I37" s="24">
        <f>IF(G37=0,0,ROUND(J37/G37,0))</f>
        <v/>
      </c>
      <c r="J37" s="24">
        <f>IF(H37=0,0,ROUND(F37/H37,0))</f>
        <v/>
      </c>
      <c r="K37" s="40">
        <f>Инструменты!L7</f>
        <v/>
      </c>
      <c r="L37" s="24">
        <f>ROUND(J37*K37,0)</f>
        <v/>
      </c>
      <c r="M37" s="24">
        <f>ROUND(L37*'Параметры плана'!$C$7,0)</f>
        <v/>
      </c>
      <c r="N37" s="41">
        <f>IF(M37=0,0,F37/M37)</f>
        <v/>
      </c>
    </row>
    <row r="38">
      <c r="A38" s="22" t="inlineStr">
        <is>
          <t>Фев 2027</t>
        </is>
      </c>
      <c r="B38" s="14">
        <f>Инструменты!B8</f>
        <v/>
      </c>
      <c r="C38" s="22">
        <f>Инструменты!D8</f>
        <v/>
      </c>
      <c r="D38" s="14">
        <f>Инструменты!E8</f>
        <v/>
      </c>
      <c r="E38" s="22">
        <f>Инструменты!G8</f>
        <v/>
      </c>
      <c r="F38" s="24">
        <f>ROUND(Инструменты!I8*VLOOKUP(A38,'Параметры плана'!$A$21:$B$32,2,FALSE),0)</f>
        <v/>
      </c>
      <c r="G38" s="40">
        <f>Инструменты!J8</f>
        <v/>
      </c>
      <c r="H38" s="24">
        <f>Инструменты!K8</f>
        <v/>
      </c>
      <c r="I38" s="24">
        <f>IF(G38=0,0,ROUND(J38/G38,0))</f>
        <v/>
      </c>
      <c r="J38" s="24">
        <f>IF(H38=0,0,ROUND(F38/H38,0))</f>
        <v/>
      </c>
      <c r="K38" s="40">
        <f>Инструменты!L8</f>
        <v/>
      </c>
      <c r="L38" s="24">
        <f>ROUND(J38*K38,0)</f>
        <v/>
      </c>
      <c r="M38" s="24">
        <f>ROUND(L38*'Параметры плана'!$C$7,0)</f>
        <v/>
      </c>
      <c r="N38" s="41">
        <f>IF(M38=0,0,F38/M38)</f>
        <v/>
      </c>
    </row>
    <row r="39">
      <c r="A39" s="22" t="inlineStr">
        <is>
          <t>Фев 2027</t>
        </is>
      </c>
      <c r="B39" s="14">
        <f>Инструменты!B9</f>
        <v/>
      </c>
      <c r="C39" s="22">
        <f>Инструменты!D9</f>
        <v/>
      </c>
      <c r="D39" s="14">
        <f>Инструменты!E9</f>
        <v/>
      </c>
      <c r="E39" s="22">
        <f>Инструменты!G9</f>
        <v/>
      </c>
      <c r="F39" s="24">
        <f>ROUND(Инструменты!I9*VLOOKUP(A39,'Параметры плана'!$A$21:$B$32,2,FALSE),0)</f>
        <v/>
      </c>
      <c r="G39" s="40">
        <f>Инструменты!J9</f>
        <v/>
      </c>
      <c r="H39" s="24">
        <f>Инструменты!K9</f>
        <v/>
      </c>
      <c r="I39" s="24">
        <f>IF(G39=0,0,ROUND(J39/G39,0))</f>
        <v/>
      </c>
      <c r="J39" s="24">
        <f>IF(H39=0,0,ROUND(F39/H39,0))</f>
        <v/>
      </c>
      <c r="K39" s="40">
        <f>Инструменты!L9</f>
        <v/>
      </c>
      <c r="L39" s="24">
        <f>ROUND(J39*K39,0)</f>
        <v/>
      </c>
      <c r="M39" s="24">
        <f>ROUND(L39*'Параметры плана'!$C$7,0)</f>
        <v/>
      </c>
      <c r="N39" s="41">
        <f>IF(M39=0,0,F39/M39)</f>
        <v/>
      </c>
    </row>
    <row r="40">
      <c r="A40" s="22" t="inlineStr">
        <is>
          <t>Фев 2027</t>
        </is>
      </c>
      <c r="B40" s="14">
        <f>Инструменты!B10</f>
        <v/>
      </c>
      <c r="C40" s="22">
        <f>Инструменты!D10</f>
        <v/>
      </c>
      <c r="D40" s="14">
        <f>Инструменты!E10</f>
        <v/>
      </c>
      <c r="E40" s="22">
        <f>Инструменты!G10</f>
        <v/>
      </c>
      <c r="F40" s="24">
        <f>ROUND(Инструменты!I10*VLOOKUP(A40,'Параметры плана'!$A$21:$B$32,2,FALSE),0)</f>
        <v/>
      </c>
      <c r="G40" s="40">
        <f>Инструменты!J10</f>
        <v/>
      </c>
      <c r="H40" s="24">
        <f>Инструменты!K10</f>
        <v/>
      </c>
      <c r="I40" s="24">
        <f>IF(G40=0,0,ROUND(J40/G40,0))</f>
        <v/>
      </c>
      <c r="J40" s="24">
        <f>IF(H40=0,0,ROUND(F40/H40,0))</f>
        <v/>
      </c>
      <c r="K40" s="40">
        <f>Инструменты!L10</f>
        <v/>
      </c>
      <c r="L40" s="24">
        <f>ROUND(J40*K40,0)</f>
        <v/>
      </c>
      <c r="M40" s="24">
        <f>ROUND(L40*'Параметры плана'!$C$7,0)</f>
        <v/>
      </c>
      <c r="N40" s="41">
        <f>IF(M40=0,0,F40/M40)</f>
        <v/>
      </c>
    </row>
    <row r="41">
      <c r="A41" s="35" t="inlineStr">
        <is>
          <t>Мар 2027</t>
        </is>
      </c>
      <c r="B41" s="36">
        <f>Инструменты!B5</f>
        <v/>
      </c>
      <c r="C41" s="35">
        <f>Инструменты!D5</f>
        <v/>
      </c>
      <c r="D41" s="36">
        <f>Инструменты!E5</f>
        <v/>
      </c>
      <c r="E41" s="35">
        <f>Инструменты!G5</f>
        <v/>
      </c>
      <c r="F41" s="37">
        <f>ROUND(Инструменты!I5*VLOOKUP(A41,'Параметры плана'!$A$21:$B$32,2,FALSE),0)</f>
        <v/>
      </c>
      <c r="G41" s="38">
        <f>Инструменты!J5</f>
        <v/>
      </c>
      <c r="H41" s="37">
        <f>Инструменты!K5</f>
        <v/>
      </c>
      <c r="I41" s="37">
        <f>IF(G41=0,0,ROUND(J41/G41,0))</f>
        <v/>
      </c>
      <c r="J41" s="37">
        <f>IF(H41=0,0,ROUND(F41/H41,0))</f>
        <v/>
      </c>
      <c r="K41" s="38">
        <f>Инструменты!L5</f>
        <v/>
      </c>
      <c r="L41" s="37">
        <f>ROUND(J41*K41,0)</f>
        <v/>
      </c>
      <c r="M41" s="37">
        <f>ROUND(L41*'Параметры плана'!$C$7,0)</f>
        <v/>
      </c>
      <c r="N41" s="39">
        <f>IF(M41=0,0,F41/M41)</f>
        <v/>
      </c>
    </row>
    <row r="42">
      <c r="A42" s="35" t="inlineStr">
        <is>
          <t>Мар 2027</t>
        </is>
      </c>
      <c r="B42" s="36">
        <f>Инструменты!B6</f>
        <v/>
      </c>
      <c r="C42" s="35">
        <f>Инструменты!D6</f>
        <v/>
      </c>
      <c r="D42" s="36">
        <f>Инструменты!E6</f>
        <v/>
      </c>
      <c r="E42" s="35">
        <f>Инструменты!G6</f>
        <v/>
      </c>
      <c r="F42" s="37">
        <f>ROUND(Инструменты!I6*VLOOKUP(A42,'Параметры плана'!$A$21:$B$32,2,FALSE),0)</f>
        <v/>
      </c>
      <c r="G42" s="38">
        <f>Инструменты!J6</f>
        <v/>
      </c>
      <c r="H42" s="37">
        <f>Инструменты!K6</f>
        <v/>
      </c>
      <c r="I42" s="37">
        <f>IF(G42=0,0,ROUND(J42/G42,0))</f>
        <v/>
      </c>
      <c r="J42" s="37">
        <f>IF(H42=0,0,ROUND(F42/H42,0))</f>
        <v/>
      </c>
      <c r="K42" s="38">
        <f>Инструменты!L6</f>
        <v/>
      </c>
      <c r="L42" s="37">
        <f>ROUND(J42*K42,0)</f>
        <v/>
      </c>
      <c r="M42" s="37">
        <f>ROUND(L42*'Параметры плана'!$C$7,0)</f>
        <v/>
      </c>
      <c r="N42" s="39">
        <f>IF(M42=0,0,F42/M42)</f>
        <v/>
      </c>
    </row>
    <row r="43">
      <c r="A43" s="35" t="inlineStr">
        <is>
          <t>Мар 2027</t>
        </is>
      </c>
      <c r="B43" s="36">
        <f>Инструменты!B7</f>
        <v/>
      </c>
      <c r="C43" s="35">
        <f>Инструменты!D7</f>
        <v/>
      </c>
      <c r="D43" s="36">
        <f>Инструменты!E7</f>
        <v/>
      </c>
      <c r="E43" s="35">
        <f>Инструменты!G7</f>
        <v/>
      </c>
      <c r="F43" s="37">
        <f>ROUND(Инструменты!I7*VLOOKUP(A43,'Параметры плана'!$A$21:$B$32,2,FALSE),0)</f>
        <v/>
      </c>
      <c r="G43" s="38">
        <f>Инструменты!J7</f>
        <v/>
      </c>
      <c r="H43" s="37">
        <f>Инструменты!K7</f>
        <v/>
      </c>
      <c r="I43" s="37">
        <f>IF(G43=0,0,ROUND(J43/G43,0))</f>
        <v/>
      </c>
      <c r="J43" s="37">
        <f>IF(H43=0,0,ROUND(F43/H43,0))</f>
        <v/>
      </c>
      <c r="K43" s="38">
        <f>Инструменты!L7</f>
        <v/>
      </c>
      <c r="L43" s="37">
        <f>ROUND(J43*K43,0)</f>
        <v/>
      </c>
      <c r="M43" s="37">
        <f>ROUND(L43*'Параметры плана'!$C$7,0)</f>
        <v/>
      </c>
      <c r="N43" s="39">
        <f>IF(M43=0,0,F43/M43)</f>
        <v/>
      </c>
    </row>
    <row r="44">
      <c r="A44" s="35" t="inlineStr">
        <is>
          <t>Мар 2027</t>
        </is>
      </c>
      <c r="B44" s="36">
        <f>Инструменты!B8</f>
        <v/>
      </c>
      <c r="C44" s="35">
        <f>Инструменты!D8</f>
        <v/>
      </c>
      <c r="D44" s="36">
        <f>Инструменты!E8</f>
        <v/>
      </c>
      <c r="E44" s="35">
        <f>Инструменты!G8</f>
        <v/>
      </c>
      <c r="F44" s="37">
        <f>ROUND(Инструменты!I8*VLOOKUP(A44,'Параметры плана'!$A$21:$B$32,2,FALSE),0)</f>
        <v/>
      </c>
      <c r="G44" s="38">
        <f>Инструменты!J8</f>
        <v/>
      </c>
      <c r="H44" s="37">
        <f>Инструменты!K8</f>
        <v/>
      </c>
      <c r="I44" s="37">
        <f>IF(G44=0,0,ROUND(J44/G44,0))</f>
        <v/>
      </c>
      <c r="J44" s="37">
        <f>IF(H44=0,0,ROUND(F44/H44,0))</f>
        <v/>
      </c>
      <c r="K44" s="38">
        <f>Инструменты!L8</f>
        <v/>
      </c>
      <c r="L44" s="37">
        <f>ROUND(J44*K44,0)</f>
        <v/>
      </c>
      <c r="M44" s="37">
        <f>ROUND(L44*'Параметры плана'!$C$7,0)</f>
        <v/>
      </c>
      <c r="N44" s="39">
        <f>IF(M44=0,0,F44/M44)</f>
        <v/>
      </c>
    </row>
    <row r="45">
      <c r="A45" s="35" t="inlineStr">
        <is>
          <t>Мар 2027</t>
        </is>
      </c>
      <c r="B45" s="36">
        <f>Инструменты!B9</f>
        <v/>
      </c>
      <c r="C45" s="35">
        <f>Инструменты!D9</f>
        <v/>
      </c>
      <c r="D45" s="36">
        <f>Инструменты!E9</f>
        <v/>
      </c>
      <c r="E45" s="35">
        <f>Инструменты!G9</f>
        <v/>
      </c>
      <c r="F45" s="37">
        <f>ROUND(Инструменты!I9*VLOOKUP(A45,'Параметры плана'!$A$21:$B$32,2,FALSE),0)</f>
        <v/>
      </c>
      <c r="G45" s="38">
        <f>Инструменты!J9</f>
        <v/>
      </c>
      <c r="H45" s="37">
        <f>Инструменты!K9</f>
        <v/>
      </c>
      <c r="I45" s="37">
        <f>IF(G45=0,0,ROUND(J45/G45,0))</f>
        <v/>
      </c>
      <c r="J45" s="37">
        <f>IF(H45=0,0,ROUND(F45/H45,0))</f>
        <v/>
      </c>
      <c r="K45" s="38">
        <f>Инструменты!L9</f>
        <v/>
      </c>
      <c r="L45" s="37">
        <f>ROUND(J45*K45,0)</f>
        <v/>
      </c>
      <c r="M45" s="37">
        <f>ROUND(L45*'Параметры плана'!$C$7,0)</f>
        <v/>
      </c>
      <c r="N45" s="39">
        <f>IF(M45=0,0,F45/M45)</f>
        <v/>
      </c>
    </row>
    <row r="46">
      <c r="A46" s="35" t="inlineStr">
        <is>
          <t>Мар 2027</t>
        </is>
      </c>
      <c r="B46" s="36">
        <f>Инструменты!B10</f>
        <v/>
      </c>
      <c r="C46" s="35">
        <f>Инструменты!D10</f>
        <v/>
      </c>
      <c r="D46" s="36">
        <f>Инструменты!E10</f>
        <v/>
      </c>
      <c r="E46" s="35">
        <f>Инструменты!G10</f>
        <v/>
      </c>
      <c r="F46" s="37">
        <f>ROUND(Инструменты!I10*VLOOKUP(A46,'Параметры плана'!$A$21:$B$32,2,FALSE),0)</f>
        <v/>
      </c>
      <c r="G46" s="38">
        <f>Инструменты!J10</f>
        <v/>
      </c>
      <c r="H46" s="37">
        <f>Инструменты!K10</f>
        <v/>
      </c>
      <c r="I46" s="37">
        <f>IF(G46=0,0,ROUND(J46/G46,0))</f>
        <v/>
      </c>
      <c r="J46" s="37">
        <f>IF(H46=0,0,ROUND(F46/H46,0))</f>
        <v/>
      </c>
      <c r="K46" s="38">
        <f>Инструменты!L10</f>
        <v/>
      </c>
      <c r="L46" s="37">
        <f>ROUND(J46*K46,0)</f>
        <v/>
      </c>
      <c r="M46" s="37">
        <f>ROUND(L46*'Параметры плана'!$C$7,0)</f>
        <v/>
      </c>
      <c r="N46" s="39">
        <f>IF(M46=0,0,F46/M46)</f>
        <v/>
      </c>
    </row>
    <row r="47">
      <c r="A47" s="22" t="inlineStr">
        <is>
          <t>Апр 2027</t>
        </is>
      </c>
      <c r="B47" s="14">
        <f>Инструменты!B5</f>
        <v/>
      </c>
      <c r="C47" s="22">
        <f>Инструменты!D5</f>
        <v/>
      </c>
      <c r="D47" s="14">
        <f>Инструменты!E5</f>
        <v/>
      </c>
      <c r="E47" s="22">
        <f>Инструменты!G5</f>
        <v/>
      </c>
      <c r="F47" s="24">
        <f>ROUND(Инструменты!I5*VLOOKUP(A47,'Параметры плана'!$A$21:$B$32,2,FALSE),0)</f>
        <v/>
      </c>
      <c r="G47" s="40">
        <f>Инструменты!J5</f>
        <v/>
      </c>
      <c r="H47" s="24">
        <f>Инструменты!K5</f>
        <v/>
      </c>
      <c r="I47" s="24">
        <f>IF(G47=0,0,ROUND(J47/G47,0))</f>
        <v/>
      </c>
      <c r="J47" s="24">
        <f>IF(H47=0,0,ROUND(F47/H47,0))</f>
        <v/>
      </c>
      <c r="K47" s="40">
        <f>Инструменты!L5</f>
        <v/>
      </c>
      <c r="L47" s="24">
        <f>ROUND(J47*K47,0)</f>
        <v/>
      </c>
      <c r="M47" s="24">
        <f>ROUND(L47*'Параметры плана'!$C$7,0)</f>
        <v/>
      </c>
      <c r="N47" s="41">
        <f>IF(M47=0,0,F47/M47)</f>
        <v/>
      </c>
    </row>
    <row r="48">
      <c r="A48" s="22" t="inlineStr">
        <is>
          <t>Апр 2027</t>
        </is>
      </c>
      <c r="B48" s="14">
        <f>Инструменты!B6</f>
        <v/>
      </c>
      <c r="C48" s="22">
        <f>Инструменты!D6</f>
        <v/>
      </c>
      <c r="D48" s="14">
        <f>Инструменты!E6</f>
        <v/>
      </c>
      <c r="E48" s="22">
        <f>Инструменты!G6</f>
        <v/>
      </c>
      <c r="F48" s="24">
        <f>ROUND(Инструменты!I6*VLOOKUP(A48,'Параметры плана'!$A$21:$B$32,2,FALSE),0)</f>
        <v/>
      </c>
      <c r="G48" s="40">
        <f>Инструменты!J6</f>
        <v/>
      </c>
      <c r="H48" s="24">
        <f>Инструменты!K6</f>
        <v/>
      </c>
      <c r="I48" s="24">
        <f>IF(G48=0,0,ROUND(J48/G48,0))</f>
        <v/>
      </c>
      <c r="J48" s="24">
        <f>IF(H48=0,0,ROUND(F48/H48,0))</f>
        <v/>
      </c>
      <c r="K48" s="40">
        <f>Инструменты!L6</f>
        <v/>
      </c>
      <c r="L48" s="24">
        <f>ROUND(J48*K48,0)</f>
        <v/>
      </c>
      <c r="M48" s="24">
        <f>ROUND(L48*'Параметры плана'!$C$7,0)</f>
        <v/>
      </c>
      <c r="N48" s="41">
        <f>IF(M48=0,0,F48/M48)</f>
        <v/>
      </c>
    </row>
    <row r="49">
      <c r="A49" s="22" t="inlineStr">
        <is>
          <t>Апр 2027</t>
        </is>
      </c>
      <c r="B49" s="14">
        <f>Инструменты!B7</f>
        <v/>
      </c>
      <c r="C49" s="22">
        <f>Инструменты!D7</f>
        <v/>
      </c>
      <c r="D49" s="14">
        <f>Инструменты!E7</f>
        <v/>
      </c>
      <c r="E49" s="22">
        <f>Инструменты!G7</f>
        <v/>
      </c>
      <c r="F49" s="24">
        <f>ROUND(Инструменты!I7*VLOOKUP(A49,'Параметры плана'!$A$21:$B$32,2,FALSE),0)</f>
        <v/>
      </c>
      <c r="G49" s="40">
        <f>Инструменты!J7</f>
        <v/>
      </c>
      <c r="H49" s="24">
        <f>Инструменты!K7</f>
        <v/>
      </c>
      <c r="I49" s="24">
        <f>IF(G49=0,0,ROUND(J49/G49,0))</f>
        <v/>
      </c>
      <c r="J49" s="24">
        <f>IF(H49=0,0,ROUND(F49/H49,0))</f>
        <v/>
      </c>
      <c r="K49" s="40">
        <f>Инструменты!L7</f>
        <v/>
      </c>
      <c r="L49" s="24">
        <f>ROUND(J49*K49,0)</f>
        <v/>
      </c>
      <c r="M49" s="24">
        <f>ROUND(L49*'Параметры плана'!$C$7,0)</f>
        <v/>
      </c>
      <c r="N49" s="41">
        <f>IF(M49=0,0,F49/M49)</f>
        <v/>
      </c>
    </row>
    <row r="50">
      <c r="A50" s="22" t="inlineStr">
        <is>
          <t>Апр 2027</t>
        </is>
      </c>
      <c r="B50" s="14">
        <f>Инструменты!B8</f>
        <v/>
      </c>
      <c r="C50" s="22">
        <f>Инструменты!D8</f>
        <v/>
      </c>
      <c r="D50" s="14">
        <f>Инструменты!E8</f>
        <v/>
      </c>
      <c r="E50" s="22">
        <f>Инструменты!G8</f>
        <v/>
      </c>
      <c r="F50" s="24">
        <f>ROUND(Инструменты!I8*VLOOKUP(A50,'Параметры плана'!$A$21:$B$32,2,FALSE),0)</f>
        <v/>
      </c>
      <c r="G50" s="40">
        <f>Инструменты!J8</f>
        <v/>
      </c>
      <c r="H50" s="24">
        <f>Инструменты!K8</f>
        <v/>
      </c>
      <c r="I50" s="24">
        <f>IF(G50=0,0,ROUND(J50/G50,0))</f>
        <v/>
      </c>
      <c r="J50" s="24">
        <f>IF(H50=0,0,ROUND(F50/H50,0))</f>
        <v/>
      </c>
      <c r="K50" s="40">
        <f>Инструменты!L8</f>
        <v/>
      </c>
      <c r="L50" s="24">
        <f>ROUND(J50*K50,0)</f>
        <v/>
      </c>
      <c r="M50" s="24">
        <f>ROUND(L50*'Параметры плана'!$C$7,0)</f>
        <v/>
      </c>
      <c r="N50" s="41">
        <f>IF(M50=0,0,F50/M50)</f>
        <v/>
      </c>
    </row>
    <row r="51">
      <c r="A51" s="22" t="inlineStr">
        <is>
          <t>Апр 2027</t>
        </is>
      </c>
      <c r="B51" s="14">
        <f>Инструменты!B9</f>
        <v/>
      </c>
      <c r="C51" s="22">
        <f>Инструменты!D9</f>
        <v/>
      </c>
      <c r="D51" s="14">
        <f>Инструменты!E9</f>
        <v/>
      </c>
      <c r="E51" s="22">
        <f>Инструменты!G9</f>
        <v/>
      </c>
      <c r="F51" s="24">
        <f>ROUND(Инструменты!I9*VLOOKUP(A51,'Параметры плана'!$A$21:$B$32,2,FALSE),0)</f>
        <v/>
      </c>
      <c r="G51" s="40">
        <f>Инструменты!J9</f>
        <v/>
      </c>
      <c r="H51" s="24">
        <f>Инструменты!K9</f>
        <v/>
      </c>
      <c r="I51" s="24">
        <f>IF(G51=0,0,ROUND(J51/G51,0))</f>
        <v/>
      </c>
      <c r="J51" s="24">
        <f>IF(H51=0,0,ROUND(F51/H51,0))</f>
        <v/>
      </c>
      <c r="K51" s="40">
        <f>Инструменты!L9</f>
        <v/>
      </c>
      <c r="L51" s="24">
        <f>ROUND(J51*K51,0)</f>
        <v/>
      </c>
      <c r="M51" s="24">
        <f>ROUND(L51*'Параметры плана'!$C$7,0)</f>
        <v/>
      </c>
      <c r="N51" s="41">
        <f>IF(M51=0,0,F51/M51)</f>
        <v/>
      </c>
    </row>
    <row r="52">
      <c r="A52" s="22" t="inlineStr">
        <is>
          <t>Апр 2027</t>
        </is>
      </c>
      <c r="B52" s="14">
        <f>Инструменты!B10</f>
        <v/>
      </c>
      <c r="C52" s="22">
        <f>Инструменты!D10</f>
        <v/>
      </c>
      <c r="D52" s="14">
        <f>Инструменты!E10</f>
        <v/>
      </c>
      <c r="E52" s="22">
        <f>Инструменты!G10</f>
        <v/>
      </c>
      <c r="F52" s="24">
        <f>ROUND(Инструменты!I10*VLOOKUP(A52,'Параметры плана'!$A$21:$B$32,2,FALSE),0)</f>
        <v/>
      </c>
      <c r="G52" s="40">
        <f>Инструменты!J10</f>
        <v/>
      </c>
      <c r="H52" s="24">
        <f>Инструменты!K10</f>
        <v/>
      </c>
      <c r="I52" s="24">
        <f>IF(G52=0,0,ROUND(J52/G52,0))</f>
        <v/>
      </c>
      <c r="J52" s="24">
        <f>IF(H52=0,0,ROUND(F52/H52,0))</f>
        <v/>
      </c>
      <c r="K52" s="40">
        <f>Инструменты!L10</f>
        <v/>
      </c>
      <c r="L52" s="24">
        <f>ROUND(J52*K52,0)</f>
        <v/>
      </c>
      <c r="M52" s="24">
        <f>ROUND(L52*'Параметры плана'!$C$7,0)</f>
        <v/>
      </c>
      <c r="N52" s="41">
        <f>IF(M52=0,0,F52/M52)</f>
        <v/>
      </c>
    </row>
    <row r="53">
      <c r="A53" s="35" t="inlineStr">
        <is>
          <t>Май 2027</t>
        </is>
      </c>
      <c r="B53" s="36">
        <f>Инструменты!B5</f>
        <v/>
      </c>
      <c r="C53" s="35">
        <f>Инструменты!D5</f>
        <v/>
      </c>
      <c r="D53" s="36">
        <f>Инструменты!E5</f>
        <v/>
      </c>
      <c r="E53" s="35">
        <f>Инструменты!G5</f>
        <v/>
      </c>
      <c r="F53" s="37">
        <f>ROUND(Инструменты!I5*VLOOKUP(A53,'Параметры плана'!$A$21:$B$32,2,FALSE),0)</f>
        <v/>
      </c>
      <c r="G53" s="38">
        <f>Инструменты!J5</f>
        <v/>
      </c>
      <c r="H53" s="37">
        <f>Инструменты!K5</f>
        <v/>
      </c>
      <c r="I53" s="37">
        <f>IF(G53=0,0,ROUND(J53/G53,0))</f>
        <v/>
      </c>
      <c r="J53" s="37">
        <f>IF(H53=0,0,ROUND(F53/H53,0))</f>
        <v/>
      </c>
      <c r="K53" s="38">
        <f>Инструменты!L5</f>
        <v/>
      </c>
      <c r="L53" s="37">
        <f>ROUND(J53*K53,0)</f>
        <v/>
      </c>
      <c r="M53" s="37">
        <f>ROUND(L53*'Параметры плана'!$C$7,0)</f>
        <v/>
      </c>
      <c r="N53" s="39">
        <f>IF(M53=0,0,F53/M53)</f>
        <v/>
      </c>
    </row>
    <row r="54">
      <c r="A54" s="35" t="inlineStr">
        <is>
          <t>Май 2027</t>
        </is>
      </c>
      <c r="B54" s="36">
        <f>Инструменты!B6</f>
        <v/>
      </c>
      <c r="C54" s="35">
        <f>Инструменты!D6</f>
        <v/>
      </c>
      <c r="D54" s="36">
        <f>Инструменты!E6</f>
        <v/>
      </c>
      <c r="E54" s="35">
        <f>Инструменты!G6</f>
        <v/>
      </c>
      <c r="F54" s="37">
        <f>ROUND(Инструменты!I6*VLOOKUP(A54,'Параметры плана'!$A$21:$B$32,2,FALSE),0)</f>
        <v/>
      </c>
      <c r="G54" s="38">
        <f>Инструменты!J6</f>
        <v/>
      </c>
      <c r="H54" s="37">
        <f>Инструменты!K6</f>
        <v/>
      </c>
      <c r="I54" s="37">
        <f>IF(G54=0,0,ROUND(J54/G54,0))</f>
        <v/>
      </c>
      <c r="J54" s="37">
        <f>IF(H54=0,0,ROUND(F54/H54,0))</f>
        <v/>
      </c>
      <c r="K54" s="38">
        <f>Инструменты!L6</f>
        <v/>
      </c>
      <c r="L54" s="37">
        <f>ROUND(J54*K54,0)</f>
        <v/>
      </c>
      <c r="M54" s="37">
        <f>ROUND(L54*'Параметры плана'!$C$7,0)</f>
        <v/>
      </c>
      <c r="N54" s="39">
        <f>IF(M54=0,0,F54/M54)</f>
        <v/>
      </c>
    </row>
    <row r="55">
      <c r="A55" s="35" t="inlineStr">
        <is>
          <t>Май 2027</t>
        </is>
      </c>
      <c r="B55" s="36">
        <f>Инструменты!B7</f>
        <v/>
      </c>
      <c r="C55" s="35">
        <f>Инструменты!D7</f>
        <v/>
      </c>
      <c r="D55" s="36">
        <f>Инструменты!E7</f>
        <v/>
      </c>
      <c r="E55" s="35">
        <f>Инструменты!G7</f>
        <v/>
      </c>
      <c r="F55" s="37">
        <f>ROUND(Инструменты!I7*VLOOKUP(A55,'Параметры плана'!$A$21:$B$32,2,FALSE),0)</f>
        <v/>
      </c>
      <c r="G55" s="38">
        <f>Инструменты!J7</f>
        <v/>
      </c>
      <c r="H55" s="37">
        <f>Инструменты!K7</f>
        <v/>
      </c>
      <c r="I55" s="37">
        <f>IF(G55=0,0,ROUND(J55/G55,0))</f>
        <v/>
      </c>
      <c r="J55" s="37">
        <f>IF(H55=0,0,ROUND(F55/H55,0))</f>
        <v/>
      </c>
      <c r="K55" s="38">
        <f>Инструменты!L7</f>
        <v/>
      </c>
      <c r="L55" s="37">
        <f>ROUND(J55*K55,0)</f>
        <v/>
      </c>
      <c r="M55" s="37">
        <f>ROUND(L55*'Параметры плана'!$C$7,0)</f>
        <v/>
      </c>
      <c r="N55" s="39">
        <f>IF(M55=0,0,F55/M55)</f>
        <v/>
      </c>
    </row>
    <row r="56">
      <c r="A56" s="35" t="inlineStr">
        <is>
          <t>Май 2027</t>
        </is>
      </c>
      <c r="B56" s="36">
        <f>Инструменты!B8</f>
        <v/>
      </c>
      <c r="C56" s="35">
        <f>Инструменты!D8</f>
        <v/>
      </c>
      <c r="D56" s="36">
        <f>Инструменты!E8</f>
        <v/>
      </c>
      <c r="E56" s="35">
        <f>Инструменты!G8</f>
        <v/>
      </c>
      <c r="F56" s="37">
        <f>ROUND(Инструменты!I8*VLOOKUP(A56,'Параметры плана'!$A$21:$B$32,2,FALSE),0)</f>
        <v/>
      </c>
      <c r="G56" s="38">
        <f>Инструменты!J8</f>
        <v/>
      </c>
      <c r="H56" s="37">
        <f>Инструменты!K8</f>
        <v/>
      </c>
      <c r="I56" s="37">
        <f>IF(G56=0,0,ROUND(J56/G56,0))</f>
        <v/>
      </c>
      <c r="J56" s="37">
        <f>IF(H56=0,0,ROUND(F56/H56,0))</f>
        <v/>
      </c>
      <c r="K56" s="38">
        <f>Инструменты!L8</f>
        <v/>
      </c>
      <c r="L56" s="37">
        <f>ROUND(J56*K56,0)</f>
        <v/>
      </c>
      <c r="M56" s="37">
        <f>ROUND(L56*'Параметры плана'!$C$7,0)</f>
        <v/>
      </c>
      <c r="N56" s="39">
        <f>IF(M56=0,0,F56/M56)</f>
        <v/>
      </c>
    </row>
    <row r="57">
      <c r="A57" s="35" t="inlineStr">
        <is>
          <t>Май 2027</t>
        </is>
      </c>
      <c r="B57" s="36">
        <f>Инструменты!B9</f>
        <v/>
      </c>
      <c r="C57" s="35">
        <f>Инструменты!D9</f>
        <v/>
      </c>
      <c r="D57" s="36">
        <f>Инструменты!E9</f>
        <v/>
      </c>
      <c r="E57" s="35">
        <f>Инструменты!G9</f>
        <v/>
      </c>
      <c r="F57" s="37">
        <f>ROUND(Инструменты!I9*VLOOKUP(A57,'Параметры плана'!$A$21:$B$32,2,FALSE),0)</f>
        <v/>
      </c>
      <c r="G57" s="38">
        <f>Инструменты!J9</f>
        <v/>
      </c>
      <c r="H57" s="37">
        <f>Инструменты!K9</f>
        <v/>
      </c>
      <c r="I57" s="37">
        <f>IF(G57=0,0,ROUND(J57/G57,0))</f>
        <v/>
      </c>
      <c r="J57" s="37">
        <f>IF(H57=0,0,ROUND(F57/H57,0))</f>
        <v/>
      </c>
      <c r="K57" s="38">
        <f>Инструменты!L9</f>
        <v/>
      </c>
      <c r="L57" s="37">
        <f>ROUND(J57*K57,0)</f>
        <v/>
      </c>
      <c r="M57" s="37">
        <f>ROUND(L57*'Параметры плана'!$C$7,0)</f>
        <v/>
      </c>
      <c r="N57" s="39">
        <f>IF(M57=0,0,F57/M57)</f>
        <v/>
      </c>
    </row>
    <row r="58">
      <c r="A58" s="35" t="inlineStr">
        <is>
          <t>Май 2027</t>
        </is>
      </c>
      <c r="B58" s="36">
        <f>Инструменты!B10</f>
        <v/>
      </c>
      <c r="C58" s="35">
        <f>Инструменты!D10</f>
        <v/>
      </c>
      <c r="D58" s="36">
        <f>Инструменты!E10</f>
        <v/>
      </c>
      <c r="E58" s="35">
        <f>Инструменты!G10</f>
        <v/>
      </c>
      <c r="F58" s="37">
        <f>ROUND(Инструменты!I10*VLOOKUP(A58,'Параметры плана'!$A$21:$B$32,2,FALSE),0)</f>
        <v/>
      </c>
      <c r="G58" s="38">
        <f>Инструменты!J10</f>
        <v/>
      </c>
      <c r="H58" s="37">
        <f>Инструменты!K10</f>
        <v/>
      </c>
      <c r="I58" s="37">
        <f>IF(G58=0,0,ROUND(J58/G58,0))</f>
        <v/>
      </c>
      <c r="J58" s="37">
        <f>IF(H58=0,0,ROUND(F58/H58,0))</f>
        <v/>
      </c>
      <c r="K58" s="38">
        <f>Инструменты!L10</f>
        <v/>
      </c>
      <c r="L58" s="37">
        <f>ROUND(J58*K58,0)</f>
        <v/>
      </c>
      <c r="M58" s="37">
        <f>ROUND(L58*'Параметры плана'!$C$7,0)</f>
        <v/>
      </c>
      <c r="N58" s="39">
        <f>IF(M58=0,0,F58/M58)</f>
        <v/>
      </c>
    </row>
    <row r="59">
      <c r="A59" s="22" t="inlineStr">
        <is>
          <t>Июн 2027</t>
        </is>
      </c>
      <c r="B59" s="14">
        <f>Инструменты!B5</f>
        <v/>
      </c>
      <c r="C59" s="22">
        <f>Инструменты!D5</f>
        <v/>
      </c>
      <c r="D59" s="14">
        <f>Инструменты!E5</f>
        <v/>
      </c>
      <c r="E59" s="22">
        <f>Инструменты!G5</f>
        <v/>
      </c>
      <c r="F59" s="24">
        <f>ROUND(Инструменты!I5*VLOOKUP(A59,'Параметры плана'!$A$21:$B$32,2,FALSE),0)</f>
        <v/>
      </c>
      <c r="G59" s="40">
        <f>Инструменты!J5</f>
        <v/>
      </c>
      <c r="H59" s="24">
        <f>Инструменты!K5</f>
        <v/>
      </c>
      <c r="I59" s="24">
        <f>IF(G59=0,0,ROUND(J59/G59,0))</f>
        <v/>
      </c>
      <c r="J59" s="24">
        <f>IF(H59=0,0,ROUND(F59/H59,0))</f>
        <v/>
      </c>
      <c r="K59" s="40">
        <f>Инструменты!L5</f>
        <v/>
      </c>
      <c r="L59" s="24">
        <f>ROUND(J59*K59,0)</f>
        <v/>
      </c>
      <c r="M59" s="24">
        <f>ROUND(L59*'Параметры плана'!$C$7,0)</f>
        <v/>
      </c>
      <c r="N59" s="41">
        <f>IF(M59=0,0,F59/M59)</f>
        <v/>
      </c>
    </row>
    <row r="60">
      <c r="A60" s="22" t="inlineStr">
        <is>
          <t>Июн 2027</t>
        </is>
      </c>
      <c r="B60" s="14">
        <f>Инструменты!B6</f>
        <v/>
      </c>
      <c r="C60" s="22">
        <f>Инструменты!D6</f>
        <v/>
      </c>
      <c r="D60" s="14">
        <f>Инструменты!E6</f>
        <v/>
      </c>
      <c r="E60" s="22">
        <f>Инструменты!G6</f>
        <v/>
      </c>
      <c r="F60" s="24">
        <f>ROUND(Инструменты!I6*VLOOKUP(A60,'Параметры плана'!$A$21:$B$32,2,FALSE),0)</f>
        <v/>
      </c>
      <c r="G60" s="40">
        <f>Инструменты!J6</f>
        <v/>
      </c>
      <c r="H60" s="24">
        <f>Инструменты!K6</f>
        <v/>
      </c>
      <c r="I60" s="24">
        <f>IF(G60=0,0,ROUND(J60/G60,0))</f>
        <v/>
      </c>
      <c r="J60" s="24">
        <f>IF(H60=0,0,ROUND(F60/H60,0))</f>
        <v/>
      </c>
      <c r="K60" s="40">
        <f>Инструменты!L6</f>
        <v/>
      </c>
      <c r="L60" s="24">
        <f>ROUND(J60*K60,0)</f>
        <v/>
      </c>
      <c r="M60" s="24">
        <f>ROUND(L60*'Параметры плана'!$C$7,0)</f>
        <v/>
      </c>
      <c r="N60" s="41">
        <f>IF(M60=0,0,F60/M60)</f>
        <v/>
      </c>
    </row>
    <row r="61">
      <c r="A61" s="22" t="inlineStr">
        <is>
          <t>Июн 2027</t>
        </is>
      </c>
      <c r="B61" s="14">
        <f>Инструменты!B7</f>
        <v/>
      </c>
      <c r="C61" s="22">
        <f>Инструменты!D7</f>
        <v/>
      </c>
      <c r="D61" s="14">
        <f>Инструменты!E7</f>
        <v/>
      </c>
      <c r="E61" s="22">
        <f>Инструменты!G7</f>
        <v/>
      </c>
      <c r="F61" s="24">
        <f>ROUND(Инструменты!I7*VLOOKUP(A61,'Параметры плана'!$A$21:$B$32,2,FALSE),0)</f>
        <v/>
      </c>
      <c r="G61" s="40">
        <f>Инструменты!J7</f>
        <v/>
      </c>
      <c r="H61" s="24">
        <f>Инструменты!K7</f>
        <v/>
      </c>
      <c r="I61" s="24">
        <f>IF(G61=0,0,ROUND(J61/G61,0))</f>
        <v/>
      </c>
      <c r="J61" s="24">
        <f>IF(H61=0,0,ROUND(F61/H61,0))</f>
        <v/>
      </c>
      <c r="K61" s="40">
        <f>Инструменты!L7</f>
        <v/>
      </c>
      <c r="L61" s="24">
        <f>ROUND(J61*K61,0)</f>
        <v/>
      </c>
      <c r="M61" s="24">
        <f>ROUND(L61*'Параметры плана'!$C$7,0)</f>
        <v/>
      </c>
      <c r="N61" s="41">
        <f>IF(M61=0,0,F61/M61)</f>
        <v/>
      </c>
    </row>
    <row r="62">
      <c r="A62" s="22" t="inlineStr">
        <is>
          <t>Июн 2027</t>
        </is>
      </c>
      <c r="B62" s="14">
        <f>Инструменты!B8</f>
        <v/>
      </c>
      <c r="C62" s="22">
        <f>Инструменты!D8</f>
        <v/>
      </c>
      <c r="D62" s="14">
        <f>Инструменты!E8</f>
        <v/>
      </c>
      <c r="E62" s="22">
        <f>Инструменты!G8</f>
        <v/>
      </c>
      <c r="F62" s="24">
        <f>ROUND(Инструменты!I8*VLOOKUP(A62,'Параметры плана'!$A$21:$B$32,2,FALSE),0)</f>
        <v/>
      </c>
      <c r="G62" s="40">
        <f>Инструменты!J8</f>
        <v/>
      </c>
      <c r="H62" s="24">
        <f>Инструменты!K8</f>
        <v/>
      </c>
      <c r="I62" s="24">
        <f>IF(G62=0,0,ROUND(J62/G62,0))</f>
        <v/>
      </c>
      <c r="J62" s="24">
        <f>IF(H62=0,0,ROUND(F62/H62,0))</f>
        <v/>
      </c>
      <c r="K62" s="40">
        <f>Инструменты!L8</f>
        <v/>
      </c>
      <c r="L62" s="24">
        <f>ROUND(J62*K62,0)</f>
        <v/>
      </c>
      <c r="M62" s="24">
        <f>ROUND(L62*'Параметры плана'!$C$7,0)</f>
        <v/>
      </c>
      <c r="N62" s="41">
        <f>IF(M62=0,0,F62/M62)</f>
        <v/>
      </c>
    </row>
    <row r="63">
      <c r="A63" s="22" t="inlineStr">
        <is>
          <t>Июн 2027</t>
        </is>
      </c>
      <c r="B63" s="14">
        <f>Инструменты!B9</f>
        <v/>
      </c>
      <c r="C63" s="22">
        <f>Инструменты!D9</f>
        <v/>
      </c>
      <c r="D63" s="14">
        <f>Инструменты!E9</f>
        <v/>
      </c>
      <c r="E63" s="22">
        <f>Инструменты!G9</f>
        <v/>
      </c>
      <c r="F63" s="24">
        <f>ROUND(Инструменты!I9*VLOOKUP(A63,'Параметры плана'!$A$21:$B$32,2,FALSE),0)</f>
        <v/>
      </c>
      <c r="G63" s="40">
        <f>Инструменты!J9</f>
        <v/>
      </c>
      <c r="H63" s="24">
        <f>Инструменты!K9</f>
        <v/>
      </c>
      <c r="I63" s="24">
        <f>IF(G63=0,0,ROUND(J63/G63,0))</f>
        <v/>
      </c>
      <c r="J63" s="24">
        <f>IF(H63=0,0,ROUND(F63/H63,0))</f>
        <v/>
      </c>
      <c r="K63" s="40">
        <f>Инструменты!L9</f>
        <v/>
      </c>
      <c r="L63" s="24">
        <f>ROUND(J63*K63,0)</f>
        <v/>
      </c>
      <c r="M63" s="24">
        <f>ROUND(L63*'Параметры плана'!$C$7,0)</f>
        <v/>
      </c>
      <c r="N63" s="41">
        <f>IF(M63=0,0,F63/M63)</f>
        <v/>
      </c>
    </row>
    <row r="64">
      <c r="A64" s="22" t="inlineStr">
        <is>
          <t>Июн 2027</t>
        </is>
      </c>
      <c r="B64" s="14">
        <f>Инструменты!B10</f>
        <v/>
      </c>
      <c r="C64" s="22">
        <f>Инструменты!D10</f>
        <v/>
      </c>
      <c r="D64" s="14">
        <f>Инструменты!E10</f>
        <v/>
      </c>
      <c r="E64" s="22">
        <f>Инструменты!G10</f>
        <v/>
      </c>
      <c r="F64" s="24">
        <f>ROUND(Инструменты!I10*VLOOKUP(A64,'Параметры плана'!$A$21:$B$32,2,FALSE),0)</f>
        <v/>
      </c>
      <c r="G64" s="40">
        <f>Инструменты!J10</f>
        <v/>
      </c>
      <c r="H64" s="24">
        <f>Инструменты!K10</f>
        <v/>
      </c>
      <c r="I64" s="24">
        <f>IF(G64=0,0,ROUND(J64/G64,0))</f>
        <v/>
      </c>
      <c r="J64" s="24">
        <f>IF(H64=0,0,ROUND(F64/H64,0))</f>
        <v/>
      </c>
      <c r="K64" s="40">
        <f>Инструменты!L10</f>
        <v/>
      </c>
      <c r="L64" s="24">
        <f>ROUND(J64*K64,0)</f>
        <v/>
      </c>
      <c r="M64" s="24">
        <f>ROUND(L64*'Параметры плана'!$C$7,0)</f>
        <v/>
      </c>
      <c r="N64" s="41">
        <f>IF(M64=0,0,F64/M64)</f>
        <v/>
      </c>
    </row>
    <row r="65">
      <c r="A65" s="35" t="inlineStr">
        <is>
          <t>Июл 2027</t>
        </is>
      </c>
      <c r="B65" s="36">
        <f>Инструменты!B5</f>
        <v/>
      </c>
      <c r="C65" s="35">
        <f>Инструменты!D5</f>
        <v/>
      </c>
      <c r="D65" s="36">
        <f>Инструменты!E5</f>
        <v/>
      </c>
      <c r="E65" s="35">
        <f>Инструменты!G5</f>
        <v/>
      </c>
      <c r="F65" s="37">
        <f>ROUND(Инструменты!I5*VLOOKUP(A65,'Параметры плана'!$A$21:$B$32,2,FALSE),0)</f>
        <v/>
      </c>
      <c r="G65" s="38">
        <f>Инструменты!J5</f>
        <v/>
      </c>
      <c r="H65" s="37">
        <f>Инструменты!K5</f>
        <v/>
      </c>
      <c r="I65" s="37">
        <f>IF(G65=0,0,ROUND(J65/G65,0))</f>
        <v/>
      </c>
      <c r="J65" s="37">
        <f>IF(H65=0,0,ROUND(F65/H65,0))</f>
        <v/>
      </c>
      <c r="K65" s="38">
        <f>Инструменты!L5</f>
        <v/>
      </c>
      <c r="L65" s="37">
        <f>ROUND(J65*K65,0)</f>
        <v/>
      </c>
      <c r="M65" s="37">
        <f>ROUND(L65*'Параметры плана'!$C$7,0)</f>
        <v/>
      </c>
      <c r="N65" s="39">
        <f>IF(M65=0,0,F65/M65)</f>
        <v/>
      </c>
    </row>
    <row r="66">
      <c r="A66" s="35" t="inlineStr">
        <is>
          <t>Июл 2027</t>
        </is>
      </c>
      <c r="B66" s="36">
        <f>Инструменты!B6</f>
        <v/>
      </c>
      <c r="C66" s="35">
        <f>Инструменты!D6</f>
        <v/>
      </c>
      <c r="D66" s="36">
        <f>Инструменты!E6</f>
        <v/>
      </c>
      <c r="E66" s="35">
        <f>Инструменты!G6</f>
        <v/>
      </c>
      <c r="F66" s="37">
        <f>ROUND(Инструменты!I6*VLOOKUP(A66,'Параметры плана'!$A$21:$B$32,2,FALSE),0)</f>
        <v/>
      </c>
      <c r="G66" s="38">
        <f>Инструменты!J6</f>
        <v/>
      </c>
      <c r="H66" s="37">
        <f>Инструменты!K6</f>
        <v/>
      </c>
      <c r="I66" s="37">
        <f>IF(G66=0,0,ROUND(J66/G66,0))</f>
        <v/>
      </c>
      <c r="J66" s="37">
        <f>IF(H66=0,0,ROUND(F66/H66,0))</f>
        <v/>
      </c>
      <c r="K66" s="38">
        <f>Инструменты!L6</f>
        <v/>
      </c>
      <c r="L66" s="37">
        <f>ROUND(J66*K66,0)</f>
        <v/>
      </c>
      <c r="M66" s="37">
        <f>ROUND(L66*'Параметры плана'!$C$7,0)</f>
        <v/>
      </c>
      <c r="N66" s="39">
        <f>IF(M66=0,0,F66/M66)</f>
        <v/>
      </c>
    </row>
    <row r="67">
      <c r="A67" s="35" t="inlineStr">
        <is>
          <t>Июл 2027</t>
        </is>
      </c>
      <c r="B67" s="36">
        <f>Инструменты!B7</f>
        <v/>
      </c>
      <c r="C67" s="35">
        <f>Инструменты!D7</f>
        <v/>
      </c>
      <c r="D67" s="36">
        <f>Инструменты!E7</f>
        <v/>
      </c>
      <c r="E67" s="35">
        <f>Инструменты!G7</f>
        <v/>
      </c>
      <c r="F67" s="37">
        <f>ROUND(Инструменты!I7*VLOOKUP(A67,'Параметры плана'!$A$21:$B$32,2,FALSE),0)</f>
        <v/>
      </c>
      <c r="G67" s="38">
        <f>Инструменты!J7</f>
        <v/>
      </c>
      <c r="H67" s="37">
        <f>Инструменты!K7</f>
        <v/>
      </c>
      <c r="I67" s="37">
        <f>IF(G67=0,0,ROUND(J67/G67,0))</f>
        <v/>
      </c>
      <c r="J67" s="37">
        <f>IF(H67=0,0,ROUND(F67/H67,0))</f>
        <v/>
      </c>
      <c r="K67" s="38">
        <f>Инструменты!L7</f>
        <v/>
      </c>
      <c r="L67" s="37">
        <f>ROUND(J67*K67,0)</f>
        <v/>
      </c>
      <c r="M67" s="37">
        <f>ROUND(L67*'Параметры плана'!$C$7,0)</f>
        <v/>
      </c>
      <c r="N67" s="39">
        <f>IF(M67=0,0,F67/M67)</f>
        <v/>
      </c>
    </row>
    <row r="68">
      <c r="A68" s="35" t="inlineStr">
        <is>
          <t>Июл 2027</t>
        </is>
      </c>
      <c r="B68" s="36">
        <f>Инструменты!B8</f>
        <v/>
      </c>
      <c r="C68" s="35">
        <f>Инструменты!D8</f>
        <v/>
      </c>
      <c r="D68" s="36">
        <f>Инструменты!E8</f>
        <v/>
      </c>
      <c r="E68" s="35">
        <f>Инструменты!G8</f>
        <v/>
      </c>
      <c r="F68" s="37">
        <f>ROUND(Инструменты!I8*VLOOKUP(A68,'Параметры плана'!$A$21:$B$32,2,FALSE),0)</f>
        <v/>
      </c>
      <c r="G68" s="38">
        <f>Инструменты!J8</f>
        <v/>
      </c>
      <c r="H68" s="37">
        <f>Инструменты!K8</f>
        <v/>
      </c>
      <c r="I68" s="37">
        <f>IF(G68=0,0,ROUND(J68/G68,0))</f>
        <v/>
      </c>
      <c r="J68" s="37">
        <f>IF(H68=0,0,ROUND(F68/H68,0))</f>
        <v/>
      </c>
      <c r="K68" s="38">
        <f>Инструменты!L8</f>
        <v/>
      </c>
      <c r="L68" s="37">
        <f>ROUND(J68*K68,0)</f>
        <v/>
      </c>
      <c r="M68" s="37">
        <f>ROUND(L68*'Параметры плана'!$C$7,0)</f>
        <v/>
      </c>
      <c r="N68" s="39">
        <f>IF(M68=0,0,F68/M68)</f>
        <v/>
      </c>
    </row>
    <row r="69">
      <c r="A69" s="35" t="inlineStr">
        <is>
          <t>Июл 2027</t>
        </is>
      </c>
      <c r="B69" s="36">
        <f>Инструменты!B9</f>
        <v/>
      </c>
      <c r="C69" s="35">
        <f>Инструменты!D9</f>
        <v/>
      </c>
      <c r="D69" s="36">
        <f>Инструменты!E9</f>
        <v/>
      </c>
      <c r="E69" s="35">
        <f>Инструменты!G9</f>
        <v/>
      </c>
      <c r="F69" s="37">
        <f>ROUND(Инструменты!I9*VLOOKUP(A69,'Параметры плана'!$A$21:$B$32,2,FALSE),0)</f>
        <v/>
      </c>
      <c r="G69" s="38">
        <f>Инструменты!J9</f>
        <v/>
      </c>
      <c r="H69" s="37">
        <f>Инструменты!K9</f>
        <v/>
      </c>
      <c r="I69" s="37">
        <f>IF(G69=0,0,ROUND(J69/G69,0))</f>
        <v/>
      </c>
      <c r="J69" s="37">
        <f>IF(H69=0,0,ROUND(F69/H69,0))</f>
        <v/>
      </c>
      <c r="K69" s="38">
        <f>Инструменты!L9</f>
        <v/>
      </c>
      <c r="L69" s="37">
        <f>ROUND(J69*K69,0)</f>
        <v/>
      </c>
      <c r="M69" s="37">
        <f>ROUND(L69*'Параметры плана'!$C$7,0)</f>
        <v/>
      </c>
      <c r="N69" s="39">
        <f>IF(M69=0,0,F69/M69)</f>
        <v/>
      </c>
    </row>
    <row r="70">
      <c r="A70" s="35" t="inlineStr">
        <is>
          <t>Июл 2027</t>
        </is>
      </c>
      <c r="B70" s="36">
        <f>Инструменты!B10</f>
        <v/>
      </c>
      <c r="C70" s="35">
        <f>Инструменты!D10</f>
        <v/>
      </c>
      <c r="D70" s="36">
        <f>Инструменты!E10</f>
        <v/>
      </c>
      <c r="E70" s="35">
        <f>Инструменты!G10</f>
        <v/>
      </c>
      <c r="F70" s="37">
        <f>ROUND(Инструменты!I10*VLOOKUP(A70,'Параметры плана'!$A$21:$B$32,2,FALSE),0)</f>
        <v/>
      </c>
      <c r="G70" s="38">
        <f>Инструменты!J10</f>
        <v/>
      </c>
      <c r="H70" s="37">
        <f>Инструменты!K10</f>
        <v/>
      </c>
      <c r="I70" s="37">
        <f>IF(G70=0,0,ROUND(J70/G70,0))</f>
        <v/>
      </c>
      <c r="J70" s="37">
        <f>IF(H70=0,0,ROUND(F70/H70,0))</f>
        <v/>
      </c>
      <c r="K70" s="38">
        <f>Инструменты!L10</f>
        <v/>
      </c>
      <c r="L70" s="37">
        <f>ROUND(J70*K70,0)</f>
        <v/>
      </c>
      <c r="M70" s="37">
        <f>ROUND(L70*'Параметры плана'!$C$7,0)</f>
        <v/>
      </c>
      <c r="N70" s="39">
        <f>IF(M70=0,0,F70/M70)</f>
        <v/>
      </c>
    </row>
    <row r="71">
      <c r="A71" s="22" t="inlineStr">
        <is>
          <t>Авг 2027</t>
        </is>
      </c>
      <c r="B71" s="14">
        <f>Инструменты!B5</f>
        <v/>
      </c>
      <c r="C71" s="22">
        <f>Инструменты!D5</f>
        <v/>
      </c>
      <c r="D71" s="14">
        <f>Инструменты!E5</f>
        <v/>
      </c>
      <c r="E71" s="22">
        <f>Инструменты!G5</f>
        <v/>
      </c>
      <c r="F71" s="24">
        <f>ROUND(Инструменты!I5*VLOOKUP(A71,'Параметры плана'!$A$21:$B$32,2,FALSE),0)</f>
        <v/>
      </c>
      <c r="G71" s="40">
        <f>Инструменты!J5</f>
        <v/>
      </c>
      <c r="H71" s="24">
        <f>Инструменты!K5</f>
        <v/>
      </c>
      <c r="I71" s="24">
        <f>IF(G71=0,0,ROUND(J71/G71,0))</f>
        <v/>
      </c>
      <c r="J71" s="24">
        <f>IF(H71=0,0,ROUND(F71/H71,0))</f>
        <v/>
      </c>
      <c r="K71" s="40">
        <f>Инструменты!L5</f>
        <v/>
      </c>
      <c r="L71" s="24">
        <f>ROUND(J71*K71,0)</f>
        <v/>
      </c>
      <c r="M71" s="24">
        <f>ROUND(L71*'Параметры плана'!$C$7,0)</f>
        <v/>
      </c>
      <c r="N71" s="41">
        <f>IF(M71=0,0,F71/M71)</f>
        <v/>
      </c>
    </row>
    <row r="72">
      <c r="A72" s="22" t="inlineStr">
        <is>
          <t>Авг 2027</t>
        </is>
      </c>
      <c r="B72" s="14">
        <f>Инструменты!B6</f>
        <v/>
      </c>
      <c r="C72" s="22">
        <f>Инструменты!D6</f>
        <v/>
      </c>
      <c r="D72" s="14">
        <f>Инструменты!E6</f>
        <v/>
      </c>
      <c r="E72" s="22">
        <f>Инструменты!G6</f>
        <v/>
      </c>
      <c r="F72" s="24">
        <f>ROUND(Инструменты!I6*VLOOKUP(A72,'Параметры плана'!$A$21:$B$32,2,FALSE),0)</f>
        <v/>
      </c>
      <c r="G72" s="40">
        <f>Инструменты!J6</f>
        <v/>
      </c>
      <c r="H72" s="24">
        <f>Инструменты!K6</f>
        <v/>
      </c>
      <c r="I72" s="24">
        <f>IF(G72=0,0,ROUND(J72/G72,0))</f>
        <v/>
      </c>
      <c r="J72" s="24">
        <f>IF(H72=0,0,ROUND(F72/H72,0))</f>
        <v/>
      </c>
      <c r="K72" s="40">
        <f>Инструменты!L6</f>
        <v/>
      </c>
      <c r="L72" s="24">
        <f>ROUND(J72*K72,0)</f>
        <v/>
      </c>
      <c r="M72" s="24">
        <f>ROUND(L72*'Параметры плана'!$C$7,0)</f>
        <v/>
      </c>
      <c r="N72" s="41">
        <f>IF(M72=0,0,F72/M72)</f>
        <v/>
      </c>
    </row>
    <row r="73">
      <c r="A73" s="22" t="inlineStr">
        <is>
          <t>Авг 2027</t>
        </is>
      </c>
      <c r="B73" s="14">
        <f>Инструменты!B7</f>
        <v/>
      </c>
      <c r="C73" s="22">
        <f>Инструменты!D7</f>
        <v/>
      </c>
      <c r="D73" s="14">
        <f>Инструменты!E7</f>
        <v/>
      </c>
      <c r="E73" s="22">
        <f>Инструменты!G7</f>
        <v/>
      </c>
      <c r="F73" s="24">
        <f>ROUND(Инструменты!I7*VLOOKUP(A73,'Параметры плана'!$A$21:$B$32,2,FALSE),0)</f>
        <v/>
      </c>
      <c r="G73" s="40">
        <f>Инструменты!J7</f>
        <v/>
      </c>
      <c r="H73" s="24">
        <f>Инструменты!K7</f>
        <v/>
      </c>
      <c r="I73" s="24">
        <f>IF(G73=0,0,ROUND(J73/G73,0))</f>
        <v/>
      </c>
      <c r="J73" s="24">
        <f>IF(H73=0,0,ROUND(F73/H73,0))</f>
        <v/>
      </c>
      <c r="K73" s="40">
        <f>Инструменты!L7</f>
        <v/>
      </c>
      <c r="L73" s="24">
        <f>ROUND(J73*K73,0)</f>
        <v/>
      </c>
      <c r="M73" s="24">
        <f>ROUND(L73*'Параметры плана'!$C$7,0)</f>
        <v/>
      </c>
      <c r="N73" s="41">
        <f>IF(M73=0,0,F73/M73)</f>
        <v/>
      </c>
    </row>
    <row r="74">
      <c r="A74" s="22" t="inlineStr">
        <is>
          <t>Авг 2027</t>
        </is>
      </c>
      <c r="B74" s="14">
        <f>Инструменты!B8</f>
        <v/>
      </c>
      <c r="C74" s="22">
        <f>Инструменты!D8</f>
        <v/>
      </c>
      <c r="D74" s="14">
        <f>Инструменты!E8</f>
        <v/>
      </c>
      <c r="E74" s="22">
        <f>Инструменты!G8</f>
        <v/>
      </c>
      <c r="F74" s="24">
        <f>ROUND(Инструменты!I8*VLOOKUP(A74,'Параметры плана'!$A$21:$B$32,2,FALSE),0)</f>
        <v/>
      </c>
      <c r="G74" s="40">
        <f>Инструменты!J8</f>
        <v/>
      </c>
      <c r="H74" s="24">
        <f>Инструменты!K8</f>
        <v/>
      </c>
      <c r="I74" s="24">
        <f>IF(G74=0,0,ROUND(J74/G74,0))</f>
        <v/>
      </c>
      <c r="J74" s="24">
        <f>IF(H74=0,0,ROUND(F74/H74,0))</f>
        <v/>
      </c>
      <c r="K74" s="40">
        <f>Инструменты!L8</f>
        <v/>
      </c>
      <c r="L74" s="24">
        <f>ROUND(J74*K74,0)</f>
        <v/>
      </c>
      <c r="M74" s="24">
        <f>ROUND(L74*'Параметры плана'!$C$7,0)</f>
        <v/>
      </c>
      <c r="N74" s="41">
        <f>IF(M74=0,0,F74/M74)</f>
        <v/>
      </c>
    </row>
    <row r="75">
      <c r="A75" s="22" t="inlineStr">
        <is>
          <t>Авг 2027</t>
        </is>
      </c>
      <c r="B75" s="14">
        <f>Инструменты!B9</f>
        <v/>
      </c>
      <c r="C75" s="22">
        <f>Инструменты!D9</f>
        <v/>
      </c>
      <c r="D75" s="14">
        <f>Инструменты!E9</f>
        <v/>
      </c>
      <c r="E75" s="22">
        <f>Инструменты!G9</f>
        <v/>
      </c>
      <c r="F75" s="24">
        <f>ROUND(Инструменты!I9*VLOOKUP(A75,'Параметры плана'!$A$21:$B$32,2,FALSE),0)</f>
        <v/>
      </c>
      <c r="G75" s="40">
        <f>Инструменты!J9</f>
        <v/>
      </c>
      <c r="H75" s="24">
        <f>Инструменты!K9</f>
        <v/>
      </c>
      <c r="I75" s="24">
        <f>IF(G75=0,0,ROUND(J75/G75,0))</f>
        <v/>
      </c>
      <c r="J75" s="24">
        <f>IF(H75=0,0,ROUND(F75/H75,0))</f>
        <v/>
      </c>
      <c r="K75" s="40">
        <f>Инструменты!L9</f>
        <v/>
      </c>
      <c r="L75" s="24">
        <f>ROUND(J75*K75,0)</f>
        <v/>
      </c>
      <c r="M75" s="24">
        <f>ROUND(L75*'Параметры плана'!$C$7,0)</f>
        <v/>
      </c>
      <c r="N75" s="41">
        <f>IF(M75=0,0,F75/M75)</f>
        <v/>
      </c>
    </row>
    <row r="76">
      <c r="A76" s="22" t="inlineStr">
        <is>
          <t>Авг 2027</t>
        </is>
      </c>
      <c r="B76" s="14">
        <f>Инструменты!B10</f>
        <v/>
      </c>
      <c r="C76" s="22">
        <f>Инструменты!D10</f>
        <v/>
      </c>
      <c r="D76" s="14">
        <f>Инструменты!E10</f>
        <v/>
      </c>
      <c r="E76" s="22">
        <f>Инструменты!G10</f>
        <v/>
      </c>
      <c r="F76" s="24">
        <f>ROUND(Инструменты!I10*VLOOKUP(A76,'Параметры плана'!$A$21:$B$32,2,FALSE),0)</f>
        <v/>
      </c>
      <c r="G76" s="40">
        <f>Инструменты!J10</f>
        <v/>
      </c>
      <c r="H76" s="24">
        <f>Инструменты!K10</f>
        <v/>
      </c>
      <c r="I76" s="24">
        <f>IF(G76=0,0,ROUND(J76/G76,0))</f>
        <v/>
      </c>
      <c r="J76" s="24">
        <f>IF(H76=0,0,ROUND(F76/H76,0))</f>
        <v/>
      </c>
      <c r="K76" s="40">
        <f>Инструменты!L10</f>
        <v/>
      </c>
      <c r="L76" s="24">
        <f>ROUND(J76*K76,0)</f>
        <v/>
      </c>
      <c r="M76" s="24">
        <f>ROUND(L76*'Параметры плана'!$C$7,0)</f>
        <v/>
      </c>
      <c r="N76" s="41">
        <f>IF(M76=0,0,F76/M76)</f>
        <v/>
      </c>
    </row>
    <row r="77">
      <c r="A77" s="17" t="inlineStr"/>
      <c r="B77" s="17" t="inlineStr">
        <is>
          <t>Итого за год</t>
        </is>
      </c>
      <c r="C77" s="17" t="n"/>
      <c r="D77" s="17" t="n"/>
      <c r="E77" s="17" t="n"/>
      <c r="F77" s="30">
        <f>SUM(F5:F76)</f>
        <v/>
      </c>
      <c r="G77" s="17" t="n"/>
      <c r="H77" s="17" t="n"/>
      <c r="I77" s="30">
        <f>SUM(I5:I76)</f>
        <v/>
      </c>
      <c r="J77" s="30">
        <f>SUM(J5:J76)</f>
        <v/>
      </c>
      <c r="K77" s="17" t="n"/>
      <c r="L77" s="30">
        <f>SUM(L5:L76)</f>
        <v/>
      </c>
      <c r="M77" s="30">
        <f>SUM(M5:M76)</f>
        <v/>
      </c>
      <c r="N77" s="29">
        <f>IF(M77=0,0,F77/M77)</f>
        <v/>
      </c>
    </row>
    <row r="79">
      <c r="A79" s="20" t="inlineStr">
        <is>
          <t>Комментарий к расчёту</t>
        </is>
      </c>
    </row>
    <row r="80" ht="24" customHeight="1">
      <c r="A80" s="21" t="inlineStr">
        <is>
          <t>Сезонность заложена через веса на «Параметрах плана»: сентябрь/октябрь и январь выше базы, июнь–июль ниже — годовой потолок 12 млн сохраняется. В пиках смещаем объём в категорийный Поиск, товарную галерею и ретаргет РСЯ; в просадке летом первым режем автотаргетинг РСЯ, бренд-Поиск и ретаргет не трогаем — они держат ДРР. При проверке смотрите не на каждую строку, а на разрыв: категорийный Поиск будет «краснее» по ДРР, чем бренд и интересы — так и задумано. Если после запуска факт по категории стабильно хуже бенча, правим CR/CPC на «Инструментах», а не пересчитываем веса месяцев вслепую.</t>
        </is>
      </c>
    </row>
    <row r="81" ht="24" customHeight="1"/>
    <row r="82" ht="24" customHeight="1"/>
    <row r="83" ht="24" customHeight="1"/>
    <row r="84" ht="24" customHeight="1"/>
  </sheetData>
  <autoFilter ref="A4:N76"/>
  <mergeCells count="4">
    <mergeCell ref="A79:N79"/>
    <mergeCell ref="A80:N84"/>
    <mergeCell ref="A2:N2"/>
    <mergeCell ref="A1:N1"/>
  </mergeCells>
  <conditionalFormatting sqref="N5:N76">
    <cfRule type="colorScale" priority="1">
      <colorScale>
        <cfvo type="num" val="0.12"/>
        <cfvo type="num" val="0.18"/>
        <cfvo type="num" val="0.28"/>
        <color rgb="0027AE60"/>
        <color rgb="00F7DC6F"/>
        <color rgb="00E74C3C"/>
      </colorScale>
    </cfRule>
  </conditionalFormatting>
  <pageMargins left="0.75" right="0.75" top="1" bottom="1" header="0.5" footer="0.5"/>
  <pageSetup orientation="landscape" paperSize="9" fitToWidth="1"/>
  <headerFooter>
    <oddHeader>&amp;C&amp;B ECCO Kids · медиаплан Директ</oddHeader>
    <oddFooter>&amp;L&amp;D&amp;Rстр.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 fitToPage="1"/>
  </sheetPr>
  <dimension ref="A1:H23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  <col width="10" customWidth="1" min="7" max="7"/>
    <col width="12" customWidth="1" min="8" max="8"/>
  </cols>
  <sheetData>
    <row r="1">
      <c r="A1" s="1" t="inlineStr">
        <is>
          <t>Сводка по месяцам: SUMIF с листа «Медиаплан на год»</t>
        </is>
      </c>
    </row>
    <row r="2">
      <c r="A2" s="2" t="inlineStr">
        <is>
          <t>SUMIF с листа «Медиаплан на год»: месяцы различаются по сезонным весам с «Параметры плана». ДРР месяца = сумма расхода / сумма выручки, не среднее ДРР кампаний.</t>
        </is>
      </c>
    </row>
    <row r="4">
      <c r="A4" s="4" t="inlineStr">
        <is>
          <t>Месяц</t>
        </is>
      </c>
      <c r="B4" s="4" t="inlineStr">
        <is>
          <t>Расход, ₽</t>
        </is>
      </c>
      <c r="C4" s="4" t="inlineStr">
        <is>
          <t>Показы</t>
        </is>
      </c>
      <c r="D4" s="4" t="inlineStr">
        <is>
          <t>Клики</t>
        </is>
      </c>
      <c r="E4" s="4" t="inlineStr">
        <is>
          <t>Покупки</t>
        </is>
      </c>
      <c r="F4" s="4" t="inlineStr">
        <is>
          <t>Выручка, ₽</t>
        </is>
      </c>
      <c r="G4" s="4" t="inlineStr">
        <is>
          <t>ДРР</t>
        </is>
      </c>
      <c r="H4" s="4" t="inlineStr">
        <is>
          <t>CPA, ₽</t>
        </is>
      </c>
    </row>
    <row r="5">
      <c r="A5" s="9" t="inlineStr">
        <is>
          <t>Сен 2026</t>
        </is>
      </c>
      <c r="B5" s="42">
        <f>SUMIF('Медиаплан на год'!A:A,A5,'Медиаплан на год'!F:F)</f>
        <v/>
      </c>
      <c r="C5" s="42">
        <f>SUMIF('Медиаплан на год'!A:A,A5,'Медиаплан на год'!I:I)</f>
        <v/>
      </c>
      <c r="D5" s="42">
        <f>SUMIF('Медиаплан на год'!A:A,A5,'Медиаплан на год'!J:J)</f>
        <v/>
      </c>
      <c r="E5" s="42">
        <f>SUMIF('Медиаплан на год'!A:A,A5,'Медиаплан на год'!L:L)</f>
        <v/>
      </c>
      <c r="F5" s="42">
        <f>SUMIF('Медиаплан на год'!A:A,A5,'Медиаплан на год'!M:M)</f>
        <v/>
      </c>
      <c r="G5" s="43">
        <f>IF(F5=0,0,B5/F5)</f>
        <v/>
      </c>
      <c r="H5" s="44">
        <f>IF(E5=0,0,B5/E5)</f>
        <v/>
      </c>
    </row>
    <row r="6">
      <c r="A6" s="10" t="inlineStr">
        <is>
          <t>Окт 2026</t>
        </is>
      </c>
      <c r="B6" s="45">
        <f>SUMIF('Медиаплан на год'!A:A,A6,'Медиаплан на год'!F:F)</f>
        <v/>
      </c>
      <c r="C6" s="45">
        <f>SUMIF('Медиаплан на год'!A:A,A6,'Медиаплан на год'!I:I)</f>
        <v/>
      </c>
      <c r="D6" s="45">
        <f>SUMIF('Медиаплан на год'!A:A,A6,'Медиаплан на год'!J:J)</f>
        <v/>
      </c>
      <c r="E6" s="45">
        <f>SUMIF('Медиаплан на год'!A:A,A6,'Медиаплан на год'!L:L)</f>
        <v/>
      </c>
      <c r="F6" s="45">
        <f>SUMIF('Медиаплан на год'!A:A,A6,'Медиаплан на год'!M:M)</f>
        <v/>
      </c>
      <c r="G6" s="46">
        <f>IF(F6=0,0,B6/F6)</f>
        <v/>
      </c>
      <c r="H6" s="47">
        <f>IF(E6=0,0,B6/E6)</f>
        <v/>
      </c>
    </row>
    <row r="7">
      <c r="A7" s="9" t="inlineStr">
        <is>
          <t>Ноя 2026</t>
        </is>
      </c>
      <c r="B7" s="42">
        <f>SUMIF('Медиаплан на год'!A:A,A7,'Медиаплан на год'!F:F)</f>
        <v/>
      </c>
      <c r="C7" s="42">
        <f>SUMIF('Медиаплан на год'!A:A,A7,'Медиаплан на год'!I:I)</f>
        <v/>
      </c>
      <c r="D7" s="42">
        <f>SUMIF('Медиаплан на год'!A:A,A7,'Медиаплан на год'!J:J)</f>
        <v/>
      </c>
      <c r="E7" s="42">
        <f>SUMIF('Медиаплан на год'!A:A,A7,'Медиаплан на год'!L:L)</f>
        <v/>
      </c>
      <c r="F7" s="42">
        <f>SUMIF('Медиаплан на год'!A:A,A7,'Медиаплан на год'!M:M)</f>
        <v/>
      </c>
      <c r="G7" s="43">
        <f>IF(F7=0,0,B7/F7)</f>
        <v/>
      </c>
      <c r="H7" s="44">
        <f>IF(E7=0,0,B7/E7)</f>
        <v/>
      </c>
    </row>
    <row r="8">
      <c r="A8" s="10" t="inlineStr">
        <is>
          <t>Дек 2026</t>
        </is>
      </c>
      <c r="B8" s="45">
        <f>SUMIF('Медиаплан на год'!A:A,A8,'Медиаплан на год'!F:F)</f>
        <v/>
      </c>
      <c r="C8" s="45">
        <f>SUMIF('Медиаплан на год'!A:A,A8,'Медиаплан на год'!I:I)</f>
        <v/>
      </c>
      <c r="D8" s="45">
        <f>SUMIF('Медиаплан на год'!A:A,A8,'Медиаплан на год'!J:J)</f>
        <v/>
      </c>
      <c r="E8" s="45">
        <f>SUMIF('Медиаплан на год'!A:A,A8,'Медиаплан на год'!L:L)</f>
        <v/>
      </c>
      <c r="F8" s="45">
        <f>SUMIF('Медиаплан на год'!A:A,A8,'Медиаплан на год'!M:M)</f>
        <v/>
      </c>
      <c r="G8" s="46">
        <f>IF(F8=0,0,B8/F8)</f>
        <v/>
      </c>
      <c r="H8" s="47">
        <f>IF(E8=0,0,B8/E8)</f>
        <v/>
      </c>
    </row>
    <row r="9">
      <c r="A9" s="9" t="inlineStr">
        <is>
          <t>Янв 2027</t>
        </is>
      </c>
      <c r="B9" s="42">
        <f>SUMIF('Медиаплан на год'!A:A,A9,'Медиаплан на год'!F:F)</f>
        <v/>
      </c>
      <c r="C9" s="42">
        <f>SUMIF('Медиаплан на год'!A:A,A9,'Медиаплан на год'!I:I)</f>
        <v/>
      </c>
      <c r="D9" s="42">
        <f>SUMIF('Медиаплан на год'!A:A,A9,'Медиаплан на год'!J:J)</f>
        <v/>
      </c>
      <c r="E9" s="42">
        <f>SUMIF('Медиаплан на год'!A:A,A9,'Медиаплан на год'!L:L)</f>
        <v/>
      </c>
      <c r="F9" s="42">
        <f>SUMIF('Медиаплан на год'!A:A,A9,'Медиаплан на год'!M:M)</f>
        <v/>
      </c>
      <c r="G9" s="43">
        <f>IF(F9=0,0,B9/F9)</f>
        <v/>
      </c>
      <c r="H9" s="44">
        <f>IF(E9=0,0,B9/E9)</f>
        <v/>
      </c>
    </row>
    <row r="10">
      <c r="A10" s="10" t="inlineStr">
        <is>
          <t>Фев 2027</t>
        </is>
      </c>
      <c r="B10" s="45">
        <f>SUMIF('Медиаплан на год'!A:A,A10,'Медиаплан на год'!F:F)</f>
        <v/>
      </c>
      <c r="C10" s="45">
        <f>SUMIF('Медиаплан на год'!A:A,A10,'Медиаплан на год'!I:I)</f>
        <v/>
      </c>
      <c r="D10" s="45">
        <f>SUMIF('Медиаплан на год'!A:A,A10,'Медиаплан на год'!J:J)</f>
        <v/>
      </c>
      <c r="E10" s="45">
        <f>SUMIF('Медиаплан на год'!A:A,A10,'Медиаплан на год'!L:L)</f>
        <v/>
      </c>
      <c r="F10" s="45">
        <f>SUMIF('Медиаплан на год'!A:A,A10,'Медиаплан на год'!M:M)</f>
        <v/>
      </c>
      <c r="G10" s="46">
        <f>IF(F10=0,0,B10/F10)</f>
        <v/>
      </c>
      <c r="H10" s="47">
        <f>IF(E10=0,0,B10/E10)</f>
        <v/>
      </c>
    </row>
    <row r="11">
      <c r="A11" s="9" t="inlineStr">
        <is>
          <t>Мар 2027</t>
        </is>
      </c>
      <c r="B11" s="42">
        <f>SUMIF('Медиаплан на год'!A:A,A11,'Медиаплан на год'!F:F)</f>
        <v/>
      </c>
      <c r="C11" s="42">
        <f>SUMIF('Медиаплан на год'!A:A,A11,'Медиаплан на год'!I:I)</f>
        <v/>
      </c>
      <c r="D11" s="42">
        <f>SUMIF('Медиаплан на год'!A:A,A11,'Медиаплан на год'!J:J)</f>
        <v/>
      </c>
      <c r="E11" s="42">
        <f>SUMIF('Медиаплан на год'!A:A,A11,'Медиаплан на год'!L:L)</f>
        <v/>
      </c>
      <c r="F11" s="42">
        <f>SUMIF('Медиаплан на год'!A:A,A11,'Медиаплан на год'!M:M)</f>
        <v/>
      </c>
      <c r="G11" s="43">
        <f>IF(F11=0,0,B11/F11)</f>
        <v/>
      </c>
      <c r="H11" s="44">
        <f>IF(E11=0,0,B11/E11)</f>
        <v/>
      </c>
    </row>
    <row r="12">
      <c r="A12" s="10" t="inlineStr">
        <is>
          <t>Апр 2027</t>
        </is>
      </c>
      <c r="B12" s="45">
        <f>SUMIF('Медиаплан на год'!A:A,A12,'Медиаплан на год'!F:F)</f>
        <v/>
      </c>
      <c r="C12" s="45">
        <f>SUMIF('Медиаплан на год'!A:A,A12,'Медиаплан на год'!I:I)</f>
        <v/>
      </c>
      <c r="D12" s="45">
        <f>SUMIF('Медиаплан на год'!A:A,A12,'Медиаплан на год'!J:J)</f>
        <v/>
      </c>
      <c r="E12" s="45">
        <f>SUMIF('Медиаплан на год'!A:A,A12,'Медиаплан на год'!L:L)</f>
        <v/>
      </c>
      <c r="F12" s="45">
        <f>SUMIF('Медиаплан на год'!A:A,A12,'Медиаплан на год'!M:M)</f>
        <v/>
      </c>
      <c r="G12" s="46">
        <f>IF(F12=0,0,B12/F12)</f>
        <v/>
      </c>
      <c r="H12" s="47">
        <f>IF(E12=0,0,B12/E12)</f>
        <v/>
      </c>
    </row>
    <row r="13">
      <c r="A13" s="9" t="inlineStr">
        <is>
          <t>Май 2027</t>
        </is>
      </c>
      <c r="B13" s="42">
        <f>SUMIF('Медиаплан на год'!A:A,A13,'Медиаплан на год'!F:F)</f>
        <v/>
      </c>
      <c r="C13" s="42">
        <f>SUMIF('Медиаплан на год'!A:A,A13,'Медиаплан на год'!I:I)</f>
        <v/>
      </c>
      <c r="D13" s="42">
        <f>SUMIF('Медиаплан на год'!A:A,A13,'Медиаплан на год'!J:J)</f>
        <v/>
      </c>
      <c r="E13" s="42">
        <f>SUMIF('Медиаплан на год'!A:A,A13,'Медиаплан на год'!L:L)</f>
        <v/>
      </c>
      <c r="F13" s="42">
        <f>SUMIF('Медиаплан на год'!A:A,A13,'Медиаплан на год'!M:M)</f>
        <v/>
      </c>
      <c r="G13" s="43">
        <f>IF(F13=0,0,B13/F13)</f>
        <v/>
      </c>
      <c r="H13" s="44">
        <f>IF(E13=0,0,B13/E13)</f>
        <v/>
      </c>
    </row>
    <row r="14">
      <c r="A14" s="10" t="inlineStr">
        <is>
          <t>Июн 2027</t>
        </is>
      </c>
      <c r="B14" s="45">
        <f>SUMIF('Медиаплан на год'!A:A,A14,'Медиаплан на год'!F:F)</f>
        <v/>
      </c>
      <c r="C14" s="45">
        <f>SUMIF('Медиаплан на год'!A:A,A14,'Медиаплан на год'!I:I)</f>
        <v/>
      </c>
      <c r="D14" s="45">
        <f>SUMIF('Медиаплан на год'!A:A,A14,'Медиаплан на год'!J:J)</f>
        <v/>
      </c>
      <c r="E14" s="45">
        <f>SUMIF('Медиаплан на год'!A:A,A14,'Медиаплан на год'!L:L)</f>
        <v/>
      </c>
      <c r="F14" s="45">
        <f>SUMIF('Медиаплан на год'!A:A,A14,'Медиаплан на год'!M:M)</f>
        <v/>
      </c>
      <c r="G14" s="46">
        <f>IF(F14=0,0,B14/F14)</f>
        <v/>
      </c>
      <c r="H14" s="47">
        <f>IF(E14=0,0,B14/E14)</f>
        <v/>
      </c>
    </row>
    <row r="15">
      <c r="A15" s="9" t="inlineStr">
        <is>
          <t>Июл 2027</t>
        </is>
      </c>
      <c r="B15" s="42">
        <f>SUMIF('Медиаплан на год'!A:A,A15,'Медиаплан на год'!F:F)</f>
        <v/>
      </c>
      <c r="C15" s="42">
        <f>SUMIF('Медиаплан на год'!A:A,A15,'Медиаплан на год'!I:I)</f>
        <v/>
      </c>
      <c r="D15" s="42">
        <f>SUMIF('Медиаплан на год'!A:A,A15,'Медиаплан на год'!J:J)</f>
        <v/>
      </c>
      <c r="E15" s="42">
        <f>SUMIF('Медиаплан на год'!A:A,A15,'Медиаплан на год'!L:L)</f>
        <v/>
      </c>
      <c r="F15" s="42">
        <f>SUMIF('Медиаплан на год'!A:A,A15,'Медиаплан на год'!M:M)</f>
        <v/>
      </c>
      <c r="G15" s="43">
        <f>IF(F15=0,0,B15/F15)</f>
        <v/>
      </c>
      <c r="H15" s="44">
        <f>IF(E15=0,0,B15/E15)</f>
        <v/>
      </c>
    </row>
    <row r="16">
      <c r="A16" s="10" t="inlineStr">
        <is>
          <t>Авг 2027</t>
        </is>
      </c>
      <c r="B16" s="45">
        <f>SUMIF('Медиаплан на год'!A:A,A16,'Медиаплан на год'!F:F)</f>
        <v/>
      </c>
      <c r="C16" s="45">
        <f>SUMIF('Медиаплан на год'!A:A,A16,'Медиаплан на год'!I:I)</f>
        <v/>
      </c>
      <c r="D16" s="45">
        <f>SUMIF('Медиаплан на год'!A:A,A16,'Медиаплан на год'!J:J)</f>
        <v/>
      </c>
      <c r="E16" s="45">
        <f>SUMIF('Медиаплан на год'!A:A,A16,'Медиаплан на год'!L:L)</f>
        <v/>
      </c>
      <c r="F16" s="45">
        <f>SUMIF('Медиаплан на год'!A:A,A16,'Медиаплан на год'!M:M)</f>
        <v/>
      </c>
      <c r="G16" s="46">
        <f>IF(F16=0,0,B16/F16)</f>
        <v/>
      </c>
      <c r="H16" s="47">
        <f>IF(E16=0,0,B16/E16)</f>
        <v/>
      </c>
    </row>
    <row r="17">
      <c r="A17" s="17" t="inlineStr">
        <is>
          <t>Итого год</t>
        </is>
      </c>
      <c r="B17" s="30">
        <f>SUM(B5:B16)</f>
        <v/>
      </c>
      <c r="C17" s="30">
        <f>SUM(C5:C16)</f>
        <v/>
      </c>
      <c r="D17" s="30">
        <f>SUM(D5:D16)</f>
        <v/>
      </c>
      <c r="E17" s="30">
        <f>SUM(E5:E16)</f>
        <v/>
      </c>
      <c r="F17" s="30">
        <f>SUM(F5:F16)</f>
        <v/>
      </c>
      <c r="G17" s="29">
        <f>IF(F17=0,0,B17/F17)</f>
        <v/>
      </c>
      <c r="H17" s="48">
        <f>IF(E17=0,0,B17/E17)</f>
        <v/>
      </c>
    </row>
    <row r="19">
      <c r="A19" s="20" t="inlineStr">
        <is>
          <t>Комментарий к расчёту</t>
        </is>
      </c>
    </row>
    <row r="20" ht="30" customHeight="1">
      <c r="A20" s="21" t="inlineStr">
        <is>
          <t>Месяцы различаются: SUMIF тянет расход с сетки года, где к базовому бюджету кампании умножен сезонный вес с «Параметров плана». ДРР месяца считаю от сумм, не усредняю ДРР кампаний: иначе категория с ДРР ~30% «спрячется» за брендом. Сентябрь/октябрь и январь выше июня/июля — это школьный и зимний спрос; сумма 12 месяцев = 12 млн ₽, веса и логика сдвига описаны на «Параметрах плана».</t>
        </is>
      </c>
    </row>
    <row r="21" ht="30" customHeight="1"/>
    <row r="22" ht="30" customHeight="1"/>
    <row r="23" ht="30" customHeight="1"/>
  </sheetData>
  <autoFilter ref="A4:H16"/>
  <mergeCells count="4">
    <mergeCell ref="A20:H23"/>
    <mergeCell ref="A19:H19"/>
    <mergeCell ref="A2:H2"/>
    <mergeCell ref="A1:H1"/>
  </mergeCells>
  <conditionalFormatting sqref="G5:G16">
    <cfRule type="colorScale" priority="1">
      <colorScale>
        <cfvo type="num" val="0.12"/>
        <cfvo type="num" val="0.18"/>
        <cfvo type="num" val="0.28"/>
        <color rgb="0027AE60"/>
        <color rgb="00F7DC6F"/>
        <color rgb="00E74C3C"/>
      </colorScale>
    </cfRule>
  </conditionalFormatting>
  <pageMargins left="0.75" right="0.75" top="1" bottom="1" header="0.5" footer="0.5"/>
  <pageSetup orientation="landscape" fitToWidth="1"/>
  <headerFooter>
    <oddHeader>&amp;C&amp;B ECCO Kids · медиаплан Директ</oddHeader>
    <oddFooter>&amp;L&amp;D&amp;Rстр. &amp;P /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C0392B"/>
    <outlinePr summaryBelow="1" summaryRight="1"/>
    <pageSetUpPr fitToPage="1"/>
  </sheetPr>
  <dimension ref="A1:K22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8" customWidth="1" min="3" max="3"/>
    <col width="12" customWidth="1" min="4" max="4"/>
    <col width="16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6" customWidth="1" min="11" max="11"/>
  </cols>
  <sheetData>
    <row r="1">
      <c r="A1" s="1" t="inlineStr">
        <is>
          <t>Сводка за год: инструменты и KPI (SUMIF с «Медиаплан на год»)</t>
        </is>
      </c>
    </row>
    <row r="2">
      <c r="A2" s="2" t="inlineStr">
        <is>
          <t>Коридор ДРР 15–25% — условие приёмки плана. Годовые KPI — сумма 12 сезонных месяцев с сетки года; доли и бенчи не меняются.</t>
        </is>
      </c>
    </row>
    <row r="4">
      <c r="A4" s="4" t="inlineStr">
        <is>
          <t>Кампания</t>
        </is>
      </c>
      <c r="B4" s="4" t="inlineStr">
        <is>
          <t>Тип площадки</t>
        </is>
      </c>
      <c r="C4" s="4" t="inlineStr">
        <is>
          <t>Доп. инструменты</t>
        </is>
      </c>
      <c r="D4" s="4" t="inlineStr">
        <is>
          <t>Доля</t>
        </is>
      </c>
      <c r="E4" s="4" t="inlineStr">
        <is>
          <t>Расход год, ₽</t>
        </is>
      </c>
      <c r="F4" s="4" t="inlineStr">
        <is>
          <t>Клики год</t>
        </is>
      </c>
      <c r="G4" s="4" t="inlineStr">
        <is>
          <t>Покупки год</t>
        </is>
      </c>
      <c r="H4" s="4" t="inlineStr">
        <is>
          <t>Выручка год, ₽</t>
        </is>
      </c>
      <c r="I4" s="4" t="inlineStr">
        <is>
          <t>ДРР</t>
        </is>
      </c>
      <c r="J4" s="4" t="inlineStr">
        <is>
          <t>CPA, ₽</t>
        </is>
      </c>
      <c r="K4" s="4" t="inlineStr">
        <is>
          <t>Вклад в покупки</t>
        </is>
      </c>
    </row>
    <row r="5">
      <c r="A5" s="11">
        <f>Инструменты!B5</f>
        <v/>
      </c>
      <c r="B5" s="27">
        <f>Инструменты!D5</f>
        <v/>
      </c>
      <c r="C5" s="11">
        <f>Инструменты!E5</f>
        <v/>
      </c>
      <c r="D5" s="49">
        <f>Инструменты!H5</f>
        <v/>
      </c>
      <c r="E5" s="28">
        <f>SUMIF('Медиаплан на год'!B:B,A5,'Медиаплан на год'!F:F)</f>
        <v/>
      </c>
      <c r="F5" s="28">
        <f>SUMIF('Медиаплан на год'!B:B,A5,'Медиаплан на год'!J:J)</f>
        <v/>
      </c>
      <c r="G5" s="28">
        <f>SUMIF('Медиаплан на год'!B:B,A5,'Медиаплан на год'!L:L)</f>
        <v/>
      </c>
      <c r="H5" s="28">
        <f>SUMIF('Медиаплан на год'!B:B,A5,'Медиаплан на год'!M:M)</f>
        <v/>
      </c>
      <c r="I5" s="49">
        <f>IF(H5=0,0,E5/H5)</f>
        <v/>
      </c>
      <c r="J5" s="50">
        <f>IF(G5=0,0,E5/G5)</f>
        <v/>
      </c>
      <c r="K5" s="49">
        <f>IF(G$11=0,0,G5/G$11)</f>
        <v/>
      </c>
    </row>
    <row r="6">
      <c r="A6" s="14">
        <f>Инструменты!B6</f>
        <v/>
      </c>
      <c r="B6" s="22">
        <f>Инструменты!D6</f>
        <v/>
      </c>
      <c r="C6" s="14">
        <f>Инструменты!E6</f>
        <v/>
      </c>
      <c r="D6" s="41">
        <f>Инструменты!H6</f>
        <v/>
      </c>
      <c r="E6" s="24">
        <f>SUMIF('Медиаплан на год'!B:B,A6,'Медиаплан на год'!F:F)</f>
        <v/>
      </c>
      <c r="F6" s="24">
        <f>SUMIF('Медиаплан на год'!B:B,A6,'Медиаплан на год'!J:J)</f>
        <v/>
      </c>
      <c r="G6" s="24">
        <f>SUMIF('Медиаплан на год'!B:B,A6,'Медиаплан на год'!L:L)</f>
        <v/>
      </c>
      <c r="H6" s="24">
        <f>SUMIF('Медиаплан на год'!B:B,A6,'Медиаплан на год'!M:M)</f>
        <v/>
      </c>
      <c r="I6" s="41">
        <f>IF(H6=0,0,E6/H6)</f>
        <v/>
      </c>
      <c r="J6" s="51">
        <f>IF(G6=0,0,E6/G6)</f>
        <v/>
      </c>
      <c r="K6" s="41">
        <f>IF(G$11=0,0,G6/G$11)</f>
        <v/>
      </c>
    </row>
    <row r="7">
      <c r="A7" s="11">
        <f>Инструменты!B7</f>
        <v/>
      </c>
      <c r="B7" s="27">
        <f>Инструменты!D7</f>
        <v/>
      </c>
      <c r="C7" s="11">
        <f>Инструменты!E7</f>
        <v/>
      </c>
      <c r="D7" s="49">
        <f>Инструменты!H7</f>
        <v/>
      </c>
      <c r="E7" s="28">
        <f>SUMIF('Медиаплан на год'!B:B,A7,'Медиаплан на год'!F:F)</f>
        <v/>
      </c>
      <c r="F7" s="28">
        <f>SUMIF('Медиаплан на год'!B:B,A7,'Медиаплан на год'!J:J)</f>
        <v/>
      </c>
      <c r="G7" s="28">
        <f>SUMIF('Медиаплан на год'!B:B,A7,'Медиаплан на год'!L:L)</f>
        <v/>
      </c>
      <c r="H7" s="28">
        <f>SUMIF('Медиаплан на год'!B:B,A7,'Медиаплан на год'!M:M)</f>
        <v/>
      </c>
      <c r="I7" s="49">
        <f>IF(H7=0,0,E7/H7)</f>
        <v/>
      </c>
      <c r="J7" s="50">
        <f>IF(G7=0,0,E7/G7)</f>
        <v/>
      </c>
      <c r="K7" s="49">
        <f>IF(G$11=0,0,G7/G$11)</f>
        <v/>
      </c>
    </row>
    <row r="8">
      <c r="A8" s="14">
        <f>Инструменты!B8</f>
        <v/>
      </c>
      <c r="B8" s="22">
        <f>Инструменты!D8</f>
        <v/>
      </c>
      <c r="C8" s="14">
        <f>Инструменты!E8</f>
        <v/>
      </c>
      <c r="D8" s="41">
        <f>Инструменты!H8</f>
        <v/>
      </c>
      <c r="E8" s="24">
        <f>SUMIF('Медиаплан на год'!B:B,A8,'Медиаплан на год'!F:F)</f>
        <v/>
      </c>
      <c r="F8" s="24">
        <f>SUMIF('Медиаплан на год'!B:B,A8,'Медиаплан на год'!J:J)</f>
        <v/>
      </c>
      <c r="G8" s="24">
        <f>SUMIF('Медиаплан на год'!B:B,A8,'Медиаплан на год'!L:L)</f>
        <v/>
      </c>
      <c r="H8" s="24">
        <f>SUMIF('Медиаплан на год'!B:B,A8,'Медиаплан на год'!M:M)</f>
        <v/>
      </c>
      <c r="I8" s="41">
        <f>IF(H8=0,0,E8/H8)</f>
        <v/>
      </c>
      <c r="J8" s="51">
        <f>IF(G8=0,0,E8/G8)</f>
        <v/>
      </c>
      <c r="K8" s="41">
        <f>IF(G$11=0,0,G8/G$11)</f>
        <v/>
      </c>
    </row>
    <row r="9">
      <c r="A9" s="11">
        <f>Инструменты!B9</f>
        <v/>
      </c>
      <c r="B9" s="27">
        <f>Инструменты!D9</f>
        <v/>
      </c>
      <c r="C9" s="11">
        <f>Инструменты!E9</f>
        <v/>
      </c>
      <c r="D9" s="49">
        <f>Инструменты!H9</f>
        <v/>
      </c>
      <c r="E9" s="28">
        <f>SUMIF('Медиаплан на год'!B:B,A9,'Медиаплан на год'!F:F)</f>
        <v/>
      </c>
      <c r="F9" s="28">
        <f>SUMIF('Медиаплан на год'!B:B,A9,'Медиаплан на год'!J:J)</f>
        <v/>
      </c>
      <c r="G9" s="28">
        <f>SUMIF('Медиаплан на год'!B:B,A9,'Медиаплан на год'!L:L)</f>
        <v/>
      </c>
      <c r="H9" s="28">
        <f>SUMIF('Медиаплан на год'!B:B,A9,'Медиаплан на год'!M:M)</f>
        <v/>
      </c>
      <c r="I9" s="49">
        <f>IF(H9=0,0,E9/H9)</f>
        <v/>
      </c>
      <c r="J9" s="50">
        <f>IF(G9=0,0,E9/G9)</f>
        <v/>
      </c>
      <c r="K9" s="49">
        <f>IF(G$11=0,0,G9/G$11)</f>
        <v/>
      </c>
    </row>
    <row r="10">
      <c r="A10" s="14">
        <f>Инструменты!B10</f>
        <v/>
      </c>
      <c r="B10" s="22">
        <f>Инструменты!D10</f>
        <v/>
      </c>
      <c r="C10" s="14">
        <f>Инструменты!E10</f>
        <v/>
      </c>
      <c r="D10" s="41">
        <f>Инструменты!H10</f>
        <v/>
      </c>
      <c r="E10" s="24">
        <f>SUMIF('Медиаплан на год'!B:B,A10,'Медиаплан на год'!F:F)</f>
        <v/>
      </c>
      <c r="F10" s="24">
        <f>SUMIF('Медиаплан на год'!B:B,A10,'Медиаплан на год'!J:J)</f>
        <v/>
      </c>
      <c r="G10" s="24">
        <f>SUMIF('Медиаплан на год'!B:B,A10,'Медиаплан на год'!L:L)</f>
        <v/>
      </c>
      <c r="H10" s="24">
        <f>SUMIF('Медиаплан на год'!B:B,A10,'Медиаплан на год'!M:M)</f>
        <v/>
      </c>
      <c r="I10" s="41">
        <f>IF(H10=0,0,E10/H10)</f>
        <v/>
      </c>
      <c r="J10" s="51">
        <f>IF(G10=0,0,E10/G10)</f>
        <v/>
      </c>
      <c r="K10" s="41">
        <f>IF(G$11=0,0,G10/G$11)</f>
        <v/>
      </c>
    </row>
    <row r="11">
      <c r="A11" s="17" t="inlineStr">
        <is>
          <t>Итого год</t>
        </is>
      </c>
      <c r="B11" s="17" t="n"/>
      <c r="C11" s="17" t="n"/>
      <c r="D11" s="29">
        <f>SUM(D5:D10)</f>
        <v/>
      </c>
      <c r="E11" s="30">
        <f>SUM(E5:E10)</f>
        <v/>
      </c>
      <c r="F11" s="30">
        <f>SUM(F5:F10)</f>
        <v/>
      </c>
      <c r="G11" s="30">
        <f>SUM(G5:G10)</f>
        <v/>
      </c>
      <c r="H11" s="30">
        <f>SUM(H5:H10)</f>
        <v/>
      </c>
      <c r="I11" s="29">
        <f>IF(H11=0,0,E11/H11)</f>
        <v/>
      </c>
      <c r="J11" s="48">
        <f>IF(G11=0,0,E11/G11)</f>
        <v/>
      </c>
      <c r="K11" s="29">
        <f>SUM(K5:K10)</f>
        <v/>
      </c>
    </row>
    <row r="13">
      <c r="A13" s="3" t="inlineStr">
        <is>
          <t>Сверка с сеткой года</t>
        </is>
      </c>
    </row>
    <row r="14">
      <c r="A14" s="31" t="inlineStr">
        <is>
          <t>Расход (сводка)</t>
        </is>
      </c>
      <c r="B14" s="52">
        <f>E11</f>
        <v/>
      </c>
      <c r="C14" s="31" t="inlineStr">
        <is>
          <t>Расход (сетка)</t>
        </is>
      </c>
      <c r="D14" s="52">
        <f>'Медиаплан на год'!F77</f>
        <v/>
      </c>
      <c r="E14" s="31" t="inlineStr">
        <is>
          <t>Расхождение</t>
        </is>
      </c>
      <c r="F14" s="52">
        <f>B14-D14</f>
        <v/>
      </c>
    </row>
    <row r="15">
      <c r="A15" s="31" t="inlineStr">
        <is>
          <t>Выручка (сводка)</t>
        </is>
      </c>
      <c r="B15" s="52">
        <f>H11</f>
        <v/>
      </c>
      <c r="C15" s="31" t="inlineStr">
        <is>
          <t>Выручка (сетка)</t>
        </is>
      </c>
      <c r="D15" s="52">
        <f>'Медиаплан на год'!M77</f>
        <v/>
      </c>
      <c r="E15" s="31" t="inlineStr">
        <is>
          <t>Расхождение</t>
        </is>
      </c>
      <c r="F15" s="52">
        <f>B15-D15</f>
        <v/>
      </c>
    </row>
    <row r="16">
      <c r="A16" s="31" t="inlineStr">
        <is>
          <t>ДРР в коридоре 15–25%</t>
        </is>
      </c>
      <c r="B16" s="31">
        <f>IF(AND(I11&gt;=0.15,I11&lt;=0.25),"Да","Нет — проверьте бенчи")</f>
        <v/>
      </c>
      <c r="C16" s="31" t="n"/>
      <c r="D16" s="31" t="n"/>
      <c r="E16" s="31" t="n"/>
      <c r="F16" s="31" t="n"/>
    </row>
    <row r="18">
      <c r="A18" s="20" t="inlineStr">
        <is>
          <t>Комментарий к расчёту</t>
        </is>
      </c>
    </row>
    <row r="19" ht="30" customHeight="1">
      <c r="A19" s="21" t="inlineStr">
        <is>
          <t>Приёмка плана — годовой ДРР в коридоре 15–25% (строка проверки). Годовые KPI — сумма 12 сезонных месяцев с «Медиаплана на год», не flat × 12. По вкладу в покупки лидирует не «самая дешёвая» кампания, а связка: категорийный Поиск даёт объём, ретаргет РСЯ — догрев, бренд — дешёвый захват своего спроса. Автотаргетинг с худшим CR не ломает год, потому что доля 10% и изолирована. После старта сверяем факт CR по каждому месту показа; бенчи в плане — рабочая гипотеза, не статистика кабинета ECCO.</t>
        </is>
      </c>
    </row>
    <row r="20" ht="30" customHeight="1"/>
    <row r="21" ht="30" customHeight="1"/>
    <row r="22" ht="30" customHeight="1"/>
  </sheetData>
  <autoFilter ref="A4:K10"/>
  <mergeCells count="4">
    <mergeCell ref="A2:K2"/>
    <mergeCell ref="A19:K22"/>
    <mergeCell ref="A1:K1"/>
    <mergeCell ref="A18:K18"/>
  </mergeCells>
  <conditionalFormatting sqref="I5:I10">
    <cfRule type="colorScale" priority="1">
      <colorScale>
        <cfvo type="min"/>
        <cfvo type="percentile" val="50"/>
        <cfvo type="max"/>
        <color rgb="0027AE60"/>
        <color rgb="00F7DC6F"/>
        <color rgb="00E74C3C"/>
      </colorScale>
    </cfRule>
  </conditionalFormatting>
  <pageMargins left="0.75" right="0.75" top="1" bottom="1" header="0.5" footer="0.5"/>
  <pageSetup orientation="landscape" fitToWidth="1"/>
  <headerFooter>
    <oddHeader>&amp;C&amp;B ECCO Kids · медиаплан Директ</oddHeader>
    <oddFooter>&amp;L&amp;D&amp;Rстр. &amp;P /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Polina mediaplan builder</dc:creator>
  <dc:title>ECCO Kids — медиаплан Яндекс Директ (формулы)</dc:title>
  <dc:description>Formula-driven 12-month Yandex Direct mediaplan for ECCO kids. Yellow cells are model inputs.</dc:description>
  <dcterms:created xsi:type="dcterms:W3CDTF">2026-08-20T15:08:22Z</dcterms:created>
  <dcterms:modified xsi:type="dcterms:W3CDTF">2026-08-20T15:08:22Z</dcterms:modified>
</cp:coreProperties>
</file>